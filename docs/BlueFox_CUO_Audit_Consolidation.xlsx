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ue\Documents\Minijeu Yllias\V3_BlueFox odyssey Fondation IA\V3_EXECUTABL_fondation IA\docs\"/>
    </mc:Choice>
  </mc:AlternateContent>
  <xr:revisionPtr revIDLastSave="0" documentId="13_ncr:1_{C5487586-A025-45E2-AF2E-6CA5CA7382C0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ynthèse" sheetId="1" r:id="rId1"/>
    <sheet name="CUO_Master" sheetId="2" r:id="rId2"/>
    <sheet name="Biomes_MicroScenes" sheetId="3" r:id="rId3"/>
    <sheet name="Guide_Valid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</calcChain>
</file>

<file path=xl/sharedStrings.xml><?xml version="1.0" encoding="utf-8"?>
<sst xmlns="http://schemas.openxmlformats.org/spreadsheetml/2006/main" count="2460" uniqueCount="678">
  <si>
    <t>BlueFox Odyssey — CUO documentaire consolidé</t>
  </si>
  <si>
    <t>Fusion du CUO V1 documentaire, du cahier des charges et des 14 objets actuellement matérialisés dans le jeu.</t>
  </si>
  <si>
    <t>Indicateur</t>
  </si>
  <si>
    <t>Valeur</t>
  </si>
  <si>
    <t>Priorité</t>
  </si>
  <si>
    <t>Objet</t>
  </si>
  <si>
    <t>Point à valider</t>
  </si>
  <si>
    <t>Objets consolidés</t>
  </si>
  <si>
    <t>P1</t>
  </si>
  <si>
    <t>tech_relic</t>
  </si>
  <si>
    <t>Distribution réelle en carte et déclencheurs de projet</t>
  </si>
  <si>
    <t>Objets déjà matérialisés</t>
  </si>
  <si>
    <t>arch</t>
  </si>
  <si>
    <t>Interactions activer / traverser et cycle d’état</t>
  </si>
  <si>
    <t>Objets documentaires à intégrer</t>
  </si>
  <si>
    <t>adaptive_plant</t>
  </si>
  <si>
    <t>Inspection obligatoire et récolte durable</t>
  </si>
  <si>
    <t>Présents dans un gabarit micro-scène</t>
  </si>
  <si>
    <t>magnetic_ore</t>
  </si>
  <si>
    <t>Dotation, extraction et missions technologiques</t>
  </si>
  <si>
    <t>Décisions validées</t>
  </si>
  <si>
    <t>Mode d’emploi : corriger directement CUO_Master, choisir une décision par ligne, puis compléter la dernière colonne si nécessaire.</t>
  </si>
  <si>
    <t>ID CUO</t>
  </si>
  <si>
    <t>Type technique</t>
  </si>
  <si>
    <t>Nom affiché</t>
  </si>
  <si>
    <t>Statut CUO</t>
  </si>
  <si>
    <t>Catégorie</t>
  </si>
  <si>
    <t>Sous-catégorie</t>
  </si>
  <si>
    <t>Famille objet</t>
  </si>
  <si>
    <t>Taille</t>
  </si>
  <si>
    <t>Rareté</t>
  </si>
  <si>
    <t>Biomes déclarés (actuel)</t>
  </si>
  <si>
    <t>Biomes autorisés par règles</t>
  </si>
  <si>
    <t>Profils de map V16.24</t>
  </si>
  <si>
    <t>Biomes / maps proposés</t>
  </si>
  <si>
    <t>Micro-scène actuelle ?</t>
  </si>
  <si>
    <t>Gabarits micro-scène actuels</t>
  </si>
  <si>
    <t>Landmarks actuels</t>
  </si>
  <si>
    <t>Micro-scènes proposées</t>
  </si>
  <si>
    <t>États possibles (proposition)</t>
  </si>
  <si>
    <t>Interactions actuelles</t>
  </si>
  <si>
    <t>Interaction par défaut</t>
  </si>
  <si>
    <t>Interactions proposées / évolution</t>
  </si>
  <si>
    <t>Interactif</t>
  </si>
  <si>
    <t>Collectable</t>
  </si>
  <si>
    <t>Inspectable</t>
  </si>
  <si>
    <t>Destructible</t>
  </si>
  <si>
    <t>Obstacle</t>
  </si>
  <si>
    <t>Traversable</t>
  </si>
  <si>
    <t>Retiré du monde</t>
  </si>
  <si>
    <t>Respawn actuel (s)</t>
  </si>
  <si>
    <t>Respawn proposé (s)</t>
  </si>
  <si>
    <t>Clé inventaire</t>
  </si>
  <si>
    <t>Exploitabilité</t>
  </si>
  <si>
    <t>Famille connaissance</t>
  </si>
  <si>
    <t>Domaines recherche</t>
  </si>
  <si>
    <t>Lien mission actuel</t>
  </si>
  <si>
    <t>Liens mission proposés</t>
  </si>
  <si>
    <t>Événements objet</t>
  </si>
  <si>
    <t>Tags situation/spawn</t>
  </si>
  <si>
    <t>Coût spawn</t>
  </si>
  <si>
    <t>Max / zone</t>
  </si>
  <si>
    <t>Distance min</t>
  </si>
  <si>
    <t>Pente min</t>
  </si>
  <si>
    <t>Pente max</t>
  </si>
  <si>
    <t>Rayon placement</t>
  </si>
  <si>
    <t>Volume placement</t>
  </si>
  <si>
    <t>Curiosité IA</t>
  </si>
  <si>
    <t>Priorité récolte IA</t>
  </si>
  <si>
    <t>Danger IA</t>
  </si>
  <si>
    <t>Déjà instancié ?</t>
  </si>
  <si>
    <t>Constructeur 3D</t>
  </si>
  <si>
    <t>Origine des attributions</t>
  </si>
  <si>
    <t>Confiance déduction</t>
  </si>
  <si>
    <t>Priorité validation</t>
  </si>
  <si>
    <t>Décision relecteur</t>
  </si>
  <si>
    <t>Valeur corrigée / commentaire</t>
  </si>
  <si>
    <t>RES-CRYS-M-001</t>
  </si>
  <si>
    <t>crystal</t>
  </si>
  <si>
    <t>Amas de cristaux</t>
  </si>
  <si>
    <t>active</t>
  </si>
  <si>
    <t>resources</t>
  </si>
  <si>
    <t>crystal_cluster</t>
  </si>
  <si>
    <t>M</t>
  </si>
  <si>
    <t>common</t>
  </si>
  <si>
    <t>Tous les biomes génériques</t>
  </si>
  <si>
    <t>default · forest · jungle · ruins · desert · mountain · cave · tundra</t>
  </si>
  <si>
    <t>volcanic · frozen · forest · ruins · aquatic · desert · crystalline · alien</t>
  </si>
  <si>
    <t>default · forest · jungle · swamp · ruins · desert · mountain · cave · coast · tundra · volcanic · frozen · aquatic · crystalline · alien</t>
  </si>
  <si>
    <t>Oui</t>
  </si>
  <si>
    <t>MSC-CRYSTAL-GROVE-001</t>
  </si>
  <si>
    <t>—</t>
  </si>
  <si>
    <t>Gisement énergétique · balise de faille</t>
  </si>
  <si>
    <t>présent · repéré · inspecté · analysé · collecté/épuisé · réapparition</t>
  </si>
  <si>
    <t>observe · inspect · collect · analyze</t>
  </si>
  <si>
    <t>collect</t>
  </si>
  <si>
    <t>Non attribué</t>
  </si>
  <si>
    <t>Non</t>
  </si>
  <si>
    <t>extractable</t>
  </si>
  <si>
    <t>mineral</t>
  </si>
  <si>
    <t>energy · geology · magnetism</t>
  </si>
  <si>
    <t>Oui — objectifs explicites kind=crystal</t>
  </si>
  <si>
    <t>Collecte énergétique · analyse géologique · stabilisation d’un portail</t>
  </si>
  <si>
    <t>OBJECT_SEEN · OBJECT_INSPECTED · OBJECT_ANALYZED</t>
  </si>
  <si>
    <t>resource · mineral · glowing</t>
  </si>
  <si>
    <t>medium</t>
  </si>
  <si>
    <t>Oui — constructeur + population de carte</t>
  </si>
  <si>
    <t>Mixte — CUO actuel + propositions explicites</t>
  </si>
  <si>
    <t>Haute</t>
  </si>
  <si>
    <t>À valider</t>
  </si>
  <si>
    <t>RES-FIBR-S-001</t>
  </si>
  <si>
    <t>fiber</t>
  </si>
  <si>
    <t>Plante fibreuse</t>
  </si>
  <si>
    <t>fiber_plant</t>
  </si>
  <si>
    <t>S</t>
  </si>
  <si>
    <t>forest · jungle · swamp</t>
  </si>
  <si>
    <t>default · forest · jungle · swamp</t>
  </si>
  <si>
    <t>forest · jungle · swamp · volcanic · frozen · ruins · aquatic · desert · crystalline · alien</t>
  </si>
  <si>
    <t>MSC-LUMINOUS-OASIS-001</t>
  </si>
  <si>
    <t>Bosquet textile · camp de réparation</t>
  </si>
  <si>
    <t>présente · repérée · inspectée · analysée · récoltée · repousse</t>
  </si>
  <si>
    <t>harvestable</t>
  </si>
  <si>
    <t>flora</t>
  </si>
  <si>
    <t>botany · materials · adaptation</t>
  </si>
  <si>
    <t>Oui — objectifs explicites kind=fiber</t>
  </si>
  <si>
    <t>Réserve de fibres · fabrication du refuge · réparation d’équipement</t>
  </si>
  <si>
    <t>resource · plant · fiber</t>
  </si>
  <si>
    <t>small</t>
  </si>
  <si>
    <t>RES-MAGN-M-001</t>
  </si>
  <si>
    <t>Minerai magnétique</t>
  </si>
  <si>
    <t>magnetic_ore_cluster</t>
  </si>
  <si>
    <t>ore</t>
  </si>
  <si>
    <t>uncommon</t>
  </si>
  <si>
    <t>mountain · cave · desert · ruins</t>
  </si>
  <si>
    <t>default · ruins · desert · mountain · cave</t>
  </si>
  <si>
    <t>volcanic · frozen · ruins · desert · crystalline · alien</t>
  </si>
  <si>
    <t>mountain · cave · desert · ruins · volcanic · frozen · crystalline · alien</t>
  </si>
  <si>
    <t>Veine magnétique · épave polarisée</t>
  </si>
  <si>
    <t>présent · repéré · inspecté · analysé · extrait/épuisé · réapparition</t>
  </si>
  <si>
    <t>observe · inspect · extract · analyze</t>
  </si>
  <si>
    <t>extract</t>
  </si>
  <si>
    <t>geology · magnetism · materials</t>
  </si>
  <si>
    <t>Possible — événements génériques, aucun objectif dédié</t>
  </si>
  <si>
    <t>Extraction magnétique · étude des anomalies · composants technologiques</t>
  </si>
  <si>
    <t>mineral · magnetic · conductive · resource · mineral · magnetic · technology</t>
  </si>
  <si>
    <t>BIO-ADAP-S-001</t>
  </si>
  <si>
    <t>Plante adaptative</t>
  </si>
  <si>
    <t>adaptive_bioluminescent_plant</t>
  </si>
  <si>
    <t>biomass</t>
  </si>
  <si>
    <t>forest · jungle · swamp · tundra · coast</t>
  </si>
  <si>
    <t>default · forest · jungle</t>
  </si>
  <si>
    <t>forest · aquatic · alien</t>
  </si>
  <si>
    <t>forest · jungle · swamp · tundra · coast · aquatic · alien</t>
  </si>
  <si>
    <t>Jardin adaptatif · lisière photoréactive</t>
  </si>
  <si>
    <t>dormante · active · inspectée · identifiée · récoltée · repousse</t>
  </si>
  <si>
    <t>inspect · collect · analyze</t>
  </si>
  <si>
    <t>inspect</t>
  </si>
  <si>
    <t>adaptive_biomass</t>
  </si>
  <si>
    <t>Oui — routage générique subject=flora</t>
  </si>
  <si>
    <t>plant · adaptive · bioluminescent · resource · plant · adaptive · bioluminescent</t>
  </si>
  <si>
    <t>TEC-RELI-M-001</t>
  </si>
  <si>
    <t>Vestige technologique</t>
  </si>
  <si>
    <t>technology</t>
  </si>
  <si>
    <t>ancient_technology_relic</t>
  </si>
  <si>
    <t>rare</t>
  </si>
  <si>
    <t>ruins · desert · mountain · cave</t>
  </si>
  <si>
    <t>Autel technologique · chambre de données</t>
  </si>
  <si>
    <t>inactif · repéré · inspecté · analysé · activé · verrouillé/neutralisé</t>
  </si>
  <si>
    <t>observe · inspect · analyze</t>
  </si>
  <si>
    <t>Sans objet (persistant)</t>
  </si>
  <si>
    <t>engineering · ancient-technology · energy</t>
  </si>
  <si>
    <t>Oui — routage générique subject=structure/components</t>
  </si>
  <si>
    <t>Étude des composants · projet technologique · déverrouillage narratif</t>
  </si>
  <si>
    <t>technology · ruin · component · landmark · technology · ruin · component · landmark · discovery</t>
  </si>
  <si>
    <t>Partiel — constructeur disponible, non distribué en carte</t>
  </si>
  <si>
    <t>NAT-ROCK-M-001</t>
  </si>
  <si>
    <t>rock</t>
  </si>
  <si>
    <t>Roche extraterrestre</t>
  </si>
  <si>
    <t>natural_decor</t>
  </si>
  <si>
    <t>alien_rock</t>
  </si>
  <si>
    <t>geology</t>
  </si>
  <si>
    <t>default · forest · jungle · swamp · ruins · desert · mountain · cave · coast · tundra</t>
  </si>
  <si>
    <t>volcanic · frozen · desert</t>
  </si>
  <si>
    <t>Éboulis · balisage naturel · abri minéral</t>
  </si>
  <si>
    <t>présente · repérée · observée · cartographiée</t>
  </si>
  <si>
    <t>observe</t>
  </si>
  <si>
    <t>Reconnaissance du terrain · cartographie · indices géologiques</t>
  </si>
  <si>
    <t>OBJECT_SEEN · PHENOMENON_OBSERVED</t>
  </si>
  <si>
    <t>decor · mineral · obstacle</t>
  </si>
  <si>
    <t>Moyenne</t>
  </si>
  <si>
    <t>P3</t>
  </si>
  <si>
    <t>NAT-TREE-L-001</t>
  </si>
  <si>
    <t>tree</t>
  </si>
  <si>
    <t>Arbre extraterrestre</t>
  </si>
  <si>
    <t>alien_tree</t>
  </si>
  <si>
    <t>L</t>
  </si>
  <si>
    <t>forest · jungle</t>
  </si>
  <si>
    <t>forest</t>
  </si>
  <si>
    <t>Bosquet ancien · clairière refuge</t>
  </si>
  <si>
    <t>présent · repéré · observé · cartographié · altéré</t>
  </si>
  <si>
    <t>Étude de la flore · repère géographique · habitat</t>
  </si>
  <si>
    <t>plant · landmark · decor · plant · obstacle · landmark</t>
  </si>
  <si>
    <t>large</t>
  </si>
  <si>
    <t>P2</t>
  </si>
  <si>
    <t>RUI-STEL-L-001</t>
  </si>
  <si>
    <t>stele</t>
  </si>
  <si>
    <t>Stèle ancienne</t>
  </si>
  <si>
    <t>ruins</t>
  </si>
  <si>
    <t>ancient_stele</t>
  </si>
  <si>
    <t>ancient-ruin</t>
  </si>
  <si>
    <t>ruins · desert · mountain</t>
  </si>
  <si>
    <t>MSC-ANCIENT-GATEWAY-001 · MSC-RUINED-SHRINE-001</t>
  </si>
  <si>
    <t>ruins · desert · crystalline · alien</t>
  </si>
  <si>
    <t>Sanctuaire ruiné · cercle de stèles</t>
  </si>
  <si>
    <t>muette · repérée · inspectée · analysée · déchiffrée · activée</t>
  </si>
  <si>
    <t>archaeology · xenolinguistics · ancient-technology</t>
  </si>
  <si>
    <t>Identifier une structure · xénoarchéologie · déclencheur de projet</t>
  </si>
  <si>
    <t>ruin · landmark · evidence · ruin · discovery · landmark</t>
  </si>
  <si>
    <t>RUI-ARCH-XL-001</t>
  </si>
  <si>
    <t>Arche traversable</t>
  </si>
  <si>
    <t>traversable_arch</t>
  </si>
  <si>
    <t>XL</t>
  </si>
  <si>
    <t>ruins · desert · forest · mountain</t>
  </si>
  <si>
    <t>MSC-ANCIENT-GATEWAY-001</t>
  </si>
  <si>
    <t>Portail ancien · seuil de ruines</t>
  </si>
  <si>
    <t>inactive · repérée · franchissable · activée · verrouillée · instable</t>
  </si>
  <si>
    <t>Franchissement · navigation · activation de portail · accès conditionnel</t>
  </si>
  <si>
    <t>ruin · landmark · traversable</t>
  </si>
  <si>
    <t>Partiel — constructeur + gabarit micro-scène non appelé</t>
  </si>
  <si>
    <t>NAT-POOL-L-001</t>
  </si>
  <si>
    <t>pool</t>
  </si>
  <si>
    <t>Bassin lumineux</t>
  </si>
  <si>
    <t>luminous_pool</t>
  </si>
  <si>
    <t>phenomenon</t>
  </si>
  <si>
    <t>swamp · forest · cave · coast</t>
  </si>
  <si>
    <t>forest · jungle · swamp · cave · coast</t>
  </si>
  <si>
    <t>aquatic · alien</t>
  </si>
  <si>
    <t>Oasis lumineuse · source bioluminescente</t>
  </si>
  <si>
    <t>stable · repéré · observé · analysé · contaminé · régénéré</t>
  </si>
  <si>
    <t>biology · chemistry · energy</t>
  </si>
  <si>
    <t>Observation d’un phénomène · prélèvement indirect · étude environnementale</t>
  </si>
  <si>
    <t>liquid · bioluminescent · environmental-phenomenon · decor · liquid · glowing · discovery</t>
  </si>
  <si>
    <t>NAT-NEDL-S-001</t>
  </si>
  <si>
    <t>needle</t>
  </si>
  <si>
    <t>Aiguilles cristallines</t>
  </si>
  <si>
    <t>crystal_needles</t>
  </si>
  <si>
    <t>default · ruins · desert · mountain · cave · coast · tundra</t>
  </si>
  <si>
    <t>volcanic · frozen · forest · aquatic · desert · crystalline · alien</t>
  </si>
  <si>
    <t>MSC-CRYSTAL-GROVE-001 · MSC-RUINED-SHRINE-001</t>
  </si>
  <si>
    <t>volcanic · frozen · crystalline · alien</t>
  </si>
  <si>
    <t>Grove cristallin · corridor de pointes</t>
  </si>
  <si>
    <t>présentes · repérées · cartographiées · brisées/altérées</t>
  </si>
  <si>
    <t>observe · inspect</t>
  </si>
  <si>
    <t>Non — aucune interaction/mission directe actuelle</t>
  </si>
  <si>
    <t>Repère minéral · danger de terrain · signature cristalline</t>
  </si>
  <si>
    <t>decor · mineral · glowing</t>
  </si>
  <si>
    <t>NAT-FRND-S-001</t>
  </si>
  <si>
    <t>frond</t>
  </si>
  <si>
    <t>Frondes de sol</t>
  </si>
  <si>
    <t>ground_fronds</t>
  </si>
  <si>
    <t>forest · jungle · swamp · tundra</t>
  </si>
  <si>
    <t>default · forest · jungle · swamp · ruins · coast · tundra</t>
  </si>
  <si>
    <t>frozen · forest · ruins · aquatic · desert · crystalline · alien</t>
  </si>
  <si>
    <t>forest · jungle · swamp · tundra · frozen · ruins · aquatic · desert · crystalline · alien</t>
  </si>
  <si>
    <t>forest · aquatic</t>
  </si>
  <si>
    <t>Sous-bois · bordure humide</t>
  </si>
  <si>
    <t>présentes · repérées · observées · fanées · repousse</t>
  </si>
  <si>
    <t>Indice de biome · étude de la flore · suivi écologique</t>
  </si>
  <si>
    <t>decor · plant · ground_cover</t>
  </si>
  <si>
    <t>NAT-SPOR-S-001</t>
  </si>
  <si>
    <t>spore</t>
  </si>
  <si>
    <t>Éventail à spores</t>
  </si>
  <si>
    <t>spore_fan</t>
  </si>
  <si>
    <t>forest · jungle · swamp · cave</t>
  </si>
  <si>
    <t>default · forest · jungle · swamp · cave</t>
  </si>
  <si>
    <t>volcanic · frozen · forest · ruins · aquatic · alien</t>
  </si>
  <si>
    <t>forest · jungle · swamp · cave · volcanic · frozen · ruins · aquatic · alien</t>
  </si>
  <si>
    <t>Oasis lumineuse · colonie fongique</t>
  </si>
  <si>
    <t>dormant · lumineux · dispersé · observé · analysé · dissipé</t>
  </si>
  <si>
    <t>Étude de la flore · phénomène bioluminescent · risque environnemental</t>
  </si>
  <si>
    <t>decor · plant · spore · glowing</t>
  </si>
  <si>
    <t>RUI-DEBR-S-001</t>
  </si>
  <si>
    <t>debris</t>
  </si>
  <si>
    <t>Débris de ruines</t>
  </si>
  <si>
    <t>ruin_debris</t>
  </si>
  <si>
    <t>default · forest · ruins · desert · mountain · coast</t>
  </si>
  <si>
    <t>volcanic · ruins · desert · crystalline · alien</t>
  </si>
  <si>
    <t>ruins · desert · forest · mountain · volcanic · crystalline · alien</t>
  </si>
  <si>
    <t>volcanic · ruins · desert</t>
  </si>
  <si>
    <t>Passage ancien · sanctuaire ruiné · épave</t>
  </si>
  <si>
    <t>présents · repérés · fouillés · analysés · sécurisés</t>
  </si>
  <si>
    <t>Étude des composants · fouille de ruines · indices narratifs</t>
  </si>
  <si>
    <t>ruin · decor · ground_cover</t>
  </si>
  <si>
    <t>DOC-RES-CRYS-M-001</t>
  </si>
  <si>
    <t>energy_blue_crystal</t>
  </si>
  <si>
    <t>Cristal d’énergie bleue</t>
  </si>
  <si>
    <t>documentary</t>
  </si>
  <si>
    <t>volcanic · frozen · desert · crystalline · cave</t>
  </si>
  <si>
    <t>Gisement énergétique · faille cristalline</t>
  </si>
  <si>
    <t>brut · lumineux · chargé · analysé · extrait · épuisé · régénéré</t>
  </si>
  <si>
    <t>observe · inspect · analyze · extract</t>
  </si>
  <si>
    <t>Proposé — Oui</t>
  </si>
  <si>
    <t>À définir</t>
  </si>
  <si>
    <t>Proposé — Non</t>
  </si>
  <si>
    <t>Proposé — Non sauf ressource récoltée</t>
  </si>
  <si>
    <t>blue_energy_crystal</t>
  </si>
  <si>
    <t>energy · geology · crystallography</t>
  </si>
  <si>
    <t>Non — objet non intégré</t>
  </si>
  <si>
    <t>Énergie du refuge · stabilisation de portail · recherche énergétique</t>
  </si>
  <si>
    <t>À définir selon interactions</t>
  </si>
  <si>
    <t>resource · mineral · energy · glowing</t>
  </si>
  <si>
    <t>À calibrer</t>
  </si>
  <si>
    <t>Non — objet documentaire</t>
  </si>
  <si>
    <t>CUO V1 — objet exemple; variante documentaire de crystal</t>
  </si>
  <si>
    <t>Ressource/décor — intégration autorisable après validation du tableau</t>
  </si>
  <si>
    <t>DOC-NAT-TREE-L-001</t>
  </si>
  <si>
    <t>luminescent_tree</t>
  </si>
  <si>
    <t>Arbre luminescent</t>
  </si>
  <si>
    <t>luminescent_alien_tree</t>
  </si>
  <si>
    <t>forest · jungle · swamp · alien</t>
  </si>
  <si>
    <t>Clairière luminescente · forêt photoréactive</t>
  </si>
  <si>
    <t>dormant · lumineux · observé · analysé · altéré</t>
  </si>
  <si>
    <t>non-extractable</t>
  </si>
  <si>
    <t>botany · bioluminescence · adaptation</t>
  </si>
  <si>
    <t>Étude de la flore · repère nocturne · analyse écologique</t>
  </si>
  <si>
    <t>decor · plant · glowing · landmark</t>
  </si>
  <si>
    <t>CUO V1 — objet exemple</t>
  </si>
  <si>
    <t>DOC-EQP-BAG-S-001</t>
  </si>
  <si>
    <t>survival_bag</t>
  </si>
  <si>
    <t>Sac de survie</t>
  </si>
  <si>
    <t>equipment</t>
  </si>
  <si>
    <t>portable_survival_bag</t>
  </si>
  <si>
    <t>all / transporté</t>
  </si>
  <si>
    <t>Camp de départ · halte de voyage</t>
  </si>
  <si>
    <t>vide · chargé · équipé · posé · endommagé · réparé</t>
  </si>
  <si>
    <t>inspect · equip · open · store · transport · repair</t>
  </si>
  <si>
    <t>materials · survival</t>
  </si>
  <si>
    <t>Préparer un voyage · transporter des vivres · fabriquer un sac</t>
  </si>
  <si>
    <t>equipment · portable · storage · survival</t>
  </si>
  <si>
    <t>DOC-TEC-DRON-M-001</t>
  </si>
  <si>
    <t>abandoned_drone</t>
  </si>
  <si>
    <t>Drone abandonné</t>
  </si>
  <si>
    <t>technologies</t>
  </si>
  <si>
    <t>abandoned_exploration_drone</t>
  </si>
  <si>
    <t>ruins · desert · mountain · crash-site</t>
  </si>
  <si>
    <t>Épave technologique · relais perdu</t>
  </si>
  <si>
    <t>hors tension · repéré · inspecté · analysé · réparé · activé · hostile/allié</t>
  </si>
  <si>
    <t>observe · inspect · analyze · repair · activate · salvage</t>
  </si>
  <si>
    <t>drone_components</t>
  </si>
  <si>
    <t>repairable/salvageable</t>
  </si>
  <si>
    <t>engineering · robotics · energy</t>
  </si>
  <si>
    <t>Réparation · récupération de composants · enquête technologique</t>
  </si>
  <si>
    <t>technology · component · mobile · discovery</t>
  </si>
  <si>
    <t>Technologie spéciale — validation visuelle du modèle obligatoire</t>
  </si>
  <si>
    <t>DOC-CON-BASE-XL-001</t>
  </si>
  <si>
    <t>base_camp</t>
  </si>
  <si>
    <t>Camp de base</t>
  </si>
  <si>
    <t>constructions</t>
  </si>
  <si>
    <t>main_base_camp</t>
  </si>
  <si>
    <t>habitation</t>
  </si>
  <si>
    <t>unique</t>
  </si>
  <si>
    <t>crash-site · safe-zone</t>
  </si>
  <si>
    <t>Site de crash · noyau du refuge</t>
  </si>
  <si>
    <t>planifié · en construction · actif · endommagé · amélioré</t>
  </si>
  <si>
    <t>inspect · build · install · use · repair · rest · craft · research</t>
  </si>
  <si>
    <t>constructible</t>
  </si>
  <si>
    <t>construction · survival · engineering</t>
  </si>
  <si>
    <t>Établir le refuge · retour à la base · recherche et accomplissement de mission</t>
  </si>
  <si>
    <t>construction · base · safe-zone · crafting · research</t>
  </si>
  <si>
    <t>CUO V1 — objet exemple; spécification du refuge principal</t>
  </si>
  <si>
    <t>Habitation spéciale — validation visuelle du modèle obligatoire</t>
  </si>
  <si>
    <t>DOC-NAT-CTRE-L-001</t>
  </si>
  <si>
    <t>crystalline_tree</t>
  </si>
  <si>
    <t>Arbre cristallin</t>
  </si>
  <si>
    <t>flora/mineral</t>
  </si>
  <si>
    <t>forest · crystalline · alien</t>
  </si>
  <si>
    <t>Forêt cristalline · bosquet résonnant</t>
  </si>
  <si>
    <t>stable · résonnant · observé · analysé · fracturé</t>
  </si>
  <si>
    <t>botany · crystallography · energy</t>
  </si>
  <si>
    <t>Identifier une espèce · signature énergétique · cartographie de biome</t>
  </si>
  <si>
    <t>decor · plant · mineral · glowing · landmark</t>
  </si>
  <si>
    <t>Cahier des charges §19.2 — Forêt luminescente</t>
  </si>
  <si>
    <t>DOC-NAT-FVEG-S-001</t>
  </si>
  <si>
    <t>fluorescent_vegetation</t>
  </si>
  <si>
    <t>Végétation fluorescente</t>
  </si>
  <si>
    <t>fluorescent_ground_vegetation</t>
  </si>
  <si>
    <t>Sous-bois fluorescent · rive lumineuse</t>
  </si>
  <si>
    <t>dormante · fluorescente · observée · fanée · repousse</t>
  </si>
  <si>
    <t>observe · inspect · collect</t>
  </si>
  <si>
    <t>fluorescent_biomass</t>
  </si>
  <si>
    <t>botany · bioluminescence</t>
  </si>
  <si>
    <t>Étude de la flore · récolte biologique · balisage nocturne</t>
  </si>
  <si>
    <t>decor · plant · glowing · ground_cover</t>
  </si>
  <si>
    <t>DOC-NAT-MUSH-L-001</t>
  </si>
  <si>
    <t>giant_mushroom</t>
  </si>
  <si>
    <t>Champignon géant</t>
  </si>
  <si>
    <t>giant_alien_fungus</t>
  </si>
  <si>
    <t>fungus</t>
  </si>
  <si>
    <t>Colonie fongique · arche de sporophores</t>
  </si>
  <si>
    <t>dormant · sporulant · observé · analysé · toxique · épuisé</t>
  </si>
  <si>
    <t>observe · inspect · analyze · collect</t>
  </si>
  <si>
    <t>fungal_sample</t>
  </si>
  <si>
    <t>mycology · biology · toxins</t>
  </si>
  <si>
    <t>Étude fongique · prélèvement prudent · risque environnemental</t>
  </si>
  <si>
    <t>decor · fungus · spore · biological · landmark</t>
  </si>
  <si>
    <t>DOC-ENV-WATR-XL-001</t>
  </si>
  <si>
    <t>watercourse</t>
  </si>
  <si>
    <t>Cours d’eau</t>
  </si>
  <si>
    <t>environment</t>
  </si>
  <si>
    <t>alien_watercourse</t>
  </si>
  <si>
    <t>hydrology</t>
  </si>
  <si>
    <t>forest · jungle · swamp · coast · aquatic</t>
  </si>
  <si>
    <t>Rive vivante · gué · source</t>
  </si>
  <si>
    <t>calme · rapide · pollué · lumineux · analysé</t>
  </si>
  <si>
    <t>observe · inspect · analyze · drink · cross</t>
  </si>
  <si>
    <t>environmental</t>
  </si>
  <si>
    <t>hydrology · chemistry · biology</t>
  </si>
  <si>
    <t>Trouver de l’eau · analyser un milieu · franchir un obstacle</t>
  </si>
  <si>
    <t>environment · liquid · corridor · phenomenon</t>
  </si>
  <si>
    <t>Décor environnemental — comportement et franchissement à valider</t>
  </si>
  <si>
    <t>DOC-FAU-NOCT-M-001</t>
  </si>
  <si>
    <t>nocturnal_animal</t>
  </si>
  <si>
    <t>Animal nocturne</t>
  </si>
  <si>
    <t>fauna</t>
  </si>
  <si>
    <t>nocturnal_alien_fauna</t>
  </si>
  <si>
    <t>Point d’observation nocturne · terrier</t>
  </si>
  <si>
    <t>caché · actif · curieux · effrayé · hostile · apprivoisé</t>
  </si>
  <si>
    <t>observe · track · contact · feed · avoid</t>
  </si>
  <si>
    <t>living</t>
  </si>
  <si>
    <t>zoology · behavior · ecology</t>
  </si>
  <si>
    <t>Observer une espèce · premier contact · suivi comportemental</t>
  </si>
  <si>
    <t>fauna · nocturnal · mobile · living</t>
  </si>
  <si>
    <t>Faune spéciale — validation visuelle du modèle obligatoire</t>
  </si>
  <si>
    <t>DOC-RES-BIOR-S-001</t>
  </si>
  <si>
    <t>rare_biological_resource</t>
  </si>
  <si>
    <t>Ressource biologique rare</t>
  </si>
  <si>
    <t>rare_biological_sample</t>
  </si>
  <si>
    <t>forest · jungle · swamp · aquatic · alien</t>
  </si>
  <si>
    <t>Niche biologique rare · organisme symbiotique</t>
  </si>
  <si>
    <t>présente · identifiée · analysée · récoltée · régénération</t>
  </si>
  <si>
    <t>rare_biomass</t>
  </si>
  <si>
    <t>biology</t>
  </si>
  <si>
    <t>Recherche avancée · collecte rare · projet biologique</t>
  </si>
  <si>
    <t>resource · biological · rare · discovery</t>
  </si>
  <si>
    <t>DOC-TER-DUNE-XL-001</t>
  </si>
  <si>
    <t>metallic_dune</t>
  </si>
  <si>
    <t>Dune métallique</t>
  </si>
  <si>
    <t>terrain_feature</t>
  </si>
  <si>
    <t>magnetic_metal_dune</t>
  </si>
  <si>
    <t>desert · volcanic</t>
  </si>
  <si>
    <t>Mer de dunes métalliques · crête magnétique</t>
  </si>
  <si>
    <t>stable · mouvante · chargée · cartographiée</t>
  </si>
  <si>
    <t>observe · inspect · analyze · traverse</t>
  </si>
  <si>
    <t>terrain</t>
  </si>
  <si>
    <t>Cartographie · franchissement · étude magnétique</t>
  </si>
  <si>
    <t>terrain · metal · magnetic · obstacle</t>
  </si>
  <si>
    <t>Cahier des charges §19.2 — Désert magnétique</t>
  </si>
  <si>
    <t>Décor/terrain — intégration autorisable après validation du tableau</t>
  </si>
  <si>
    <t>DOC-PHE-STOR-XL-001</t>
  </si>
  <si>
    <t>electrostatic_storm</t>
  </si>
  <si>
    <t>Tempête électrostatique</t>
  </si>
  <si>
    <t>phenomena</t>
  </si>
  <si>
    <t>weather</t>
  </si>
  <si>
    <t>desert · mountain · volcanic</t>
  </si>
  <si>
    <t>Front de tempête · zone chargée</t>
  </si>
  <si>
    <t>latente · active · maximale · dissipée · analysée</t>
  </si>
  <si>
    <t>observe · analyze · avoid · shelter · traverse</t>
  </si>
  <si>
    <t>meteorology · electricity · magnetism</t>
  </si>
  <si>
    <t>Se mettre à l’abri · analyser un phénomène · traversée risquée</t>
  </si>
  <si>
    <t>weather · electrical · danger · phenomenon</t>
  </si>
  <si>
    <t>À calibrer — danger probable</t>
  </si>
  <si>
    <t>Effet spécial — validation visuelle et gameplay obligatoire</t>
  </si>
  <si>
    <t>DOC-RUI-MACH-L-001</t>
  </si>
  <si>
    <t>ancient_machine_wreck</t>
  </si>
  <si>
    <t>Carcasse d’ancienne machine</t>
  </si>
  <si>
    <t>desert · ruins · crash-site</t>
  </si>
  <si>
    <t>Cimetière de machines · épave ensablée</t>
  </si>
  <si>
    <t>enfouie · repérée · inspectée · analysée · fouillée · sécurisée</t>
  </si>
  <si>
    <t>observe · inspect · analyze · salvage</t>
  </si>
  <si>
    <t>ancient_components</t>
  </si>
  <si>
    <t>salvageable</t>
  </si>
  <si>
    <t>engineering · archaeology · materials</t>
  </si>
  <si>
    <t>ruin · technology · component · evidence</t>
  </si>
  <si>
    <t>DOC-FAU-SUBT-M-001</t>
  </si>
  <si>
    <t>underground_creature</t>
  </si>
  <si>
    <t>Créature souterraine</t>
  </si>
  <si>
    <t>subterranean_alien_creature</t>
  </si>
  <si>
    <t>desert · cave · mountain</t>
  </si>
  <si>
    <t>Terrier profond · zone de vibrations</t>
  </si>
  <si>
    <t>enfouie · en chasse · curieuse · hostile · effrayée · apaisée</t>
  </si>
  <si>
    <t>observe · track · avoid · contact · defend</t>
  </si>
  <si>
    <t>zoology · behavior · adaptation</t>
  </si>
  <si>
    <t>Détecter une présence · éviter un danger · étude comportementale</t>
  </si>
  <si>
    <t>fauna · subterranean · mobile · danger</t>
  </si>
  <si>
    <t>DOC-TER-ISLE-XL-001</t>
  </si>
  <si>
    <t>mobile_islet</t>
  </si>
  <si>
    <t>Îlot mobile</t>
  </si>
  <si>
    <t>floating_mobile_islet</t>
  </si>
  <si>
    <t>swamp · aquatic · floating-islands</t>
  </si>
  <si>
    <t>Archipel mouvant · passage temporaire</t>
  </si>
  <si>
    <t>stable · dérivant · ancré · instable · cartographié</t>
  </si>
  <si>
    <t>observe · inspect · analyze · board · traverse</t>
  </si>
  <si>
    <t>geology · gravitation · hydrology</t>
  </si>
  <si>
    <t>Cartographier un passage · atteindre une zone · analyser une anomalie</t>
  </si>
  <si>
    <t>terrain · floating · mobile · platform</t>
  </si>
  <si>
    <t>Cahier des charges §19.2 — Marais flottant</t>
  </si>
  <si>
    <t>Terrain spécial — validation visuelle et navigation obligatoire</t>
  </si>
  <si>
    <t>DOC-BIO-CARN-M-001</t>
  </si>
  <si>
    <t>carnivorous_plant</t>
  </si>
  <si>
    <t>Plante carnivore</t>
  </si>
  <si>
    <t>carnivorous_alien_plant</t>
  </si>
  <si>
    <t>swamp · jungle · forest</t>
  </si>
  <si>
    <t>Piège végétal · clairière prédatrice</t>
  </si>
  <si>
    <t>fermée · attirante · active · repue · neutralisée · analysée</t>
  </si>
  <si>
    <t>observe · inspect · analyze · avoid · neutralize · collect</t>
  </si>
  <si>
    <t>carnivorous_sample</t>
  </si>
  <si>
    <t>hazard/harvestable</t>
  </si>
  <si>
    <t>botany · toxins · behavior</t>
  </si>
  <si>
    <t>Identifier un danger · prélèvement risqué · protection du camp</t>
  </si>
  <si>
    <t>plant · danger · living · resource</t>
  </si>
  <si>
    <t>Ressource/décor — forme et danger à valider</t>
  </si>
  <si>
    <t>DOC-PHE-FOG-XL-001</t>
  </si>
  <si>
    <t>fog_bank</t>
  </si>
  <si>
    <t>Banc de brouillard</t>
  </si>
  <si>
    <t>dense_alien_fog</t>
  </si>
  <si>
    <t>swamp · forest · coast · aquatic</t>
  </si>
  <si>
    <t>Nappe de brume · passage masqué</t>
  </si>
  <si>
    <t>léger · dense · toxique · lumineux · dissipé</t>
  </si>
  <si>
    <t>observe · analyze · avoid · traverse</t>
  </si>
  <si>
    <t>meteorology · chemistry</t>
  </si>
  <si>
    <t>Navigation à visibilité réduite · analyse atmosphérique</t>
  </si>
  <si>
    <t>weather · fog · visibility · phenomenon</t>
  </si>
  <si>
    <t>DOC-RUI-SUBM-XL-001</t>
  </si>
  <si>
    <t>submerged_ruins</t>
  </si>
  <si>
    <t>Ruines immergées</t>
  </si>
  <si>
    <t>submerged_ancient_ruins</t>
  </si>
  <si>
    <t>swamp · aquatic · coast</t>
  </si>
  <si>
    <t>Sanctuaire immergé · cité noyée</t>
  </si>
  <si>
    <t>submergées · repérées · accessibles · inspectées · analysées · cartographiées</t>
  </si>
  <si>
    <t>observe · inspect · analyze · explore</t>
  </si>
  <si>
    <t>discoverable</t>
  </si>
  <si>
    <t>archaeology · hydrology · ancient-technology</t>
  </si>
  <si>
    <t>Explorer des ruines · cartographier · enquête civilisationnelle</t>
  </si>
  <si>
    <t>ruin · underwater · landmark · discovery</t>
  </si>
  <si>
    <t>Structure spéciale — validation visuelle du modèle obligatoire</t>
  </si>
  <si>
    <t>DOC-FAU-AMPH-M-001</t>
  </si>
  <si>
    <t>amphibian_species</t>
  </si>
  <si>
    <t>Espèce amphibie</t>
  </si>
  <si>
    <t>alien_amphibian_species</t>
  </si>
  <si>
    <t>Colonie amphibie · rive de reproduction</t>
  </si>
  <si>
    <t>immergée · terrestre · curieuse · effrayée · sociale · hostile</t>
  </si>
  <si>
    <t>zoology · ecology · adaptation</t>
  </si>
  <si>
    <t>Observer une espèce · premier contact · étude inter-biomes</t>
  </si>
  <si>
    <t>fauna · amphibian · mobile · living</t>
  </si>
  <si>
    <t>DOC-RUI-CRSH-XL-001</t>
  </si>
  <si>
    <t>crash_site</t>
  </si>
  <si>
    <t>Site de crash</t>
  </si>
  <si>
    <t>bluefox_crash_site</t>
  </si>
  <si>
    <t>crash-site</t>
  </si>
  <si>
    <t>starting-map</t>
  </si>
  <si>
    <t>Épave initiale · noyau du camp</t>
  </si>
  <si>
    <t>fumant · sécurisé · fouillé · réparé · transformé en base</t>
  </si>
  <si>
    <t>observe · inspect · salvage · build · repair · use</t>
  </si>
  <si>
    <t>ship_components</t>
  </si>
  <si>
    <t>salvageable/base-anchor</t>
  </si>
  <si>
    <t>engineering · survival · navigation</t>
  </si>
  <si>
    <t>Sécuriser le refuge · récupérer des composants · établir le camp</t>
  </si>
  <si>
    <t>crash-site · ruin · base-anchor · technology</t>
  </si>
  <si>
    <t>Cahier des charges §19.1; missions historiques</t>
  </si>
  <si>
    <t>DOC-CON-SECB-L-001</t>
  </si>
  <si>
    <t>secondary_base</t>
  </si>
  <si>
    <t>Base secondaire</t>
  </si>
  <si>
    <t>secondary_survival_base</t>
  </si>
  <si>
    <t>all / zones explorées</t>
  </si>
  <si>
    <t>Camp avancé · halte sécurisée</t>
  </si>
  <si>
    <t>planifiée · construite · active · endommagée · abandonnée</t>
  </si>
  <si>
    <t>inspect · build · use · rest · eat · repair</t>
  </si>
  <si>
    <t>construction · survival</t>
  </si>
  <si>
    <t>Voyage longue distance · repos sécurisé · retour à la base principale</t>
  </si>
  <si>
    <t>construction · camp · safe-zone · survival</t>
  </si>
  <si>
    <t>Spécification documentaire — bases secondaires</t>
  </si>
  <si>
    <t>Type objet</t>
  </si>
  <si>
    <t>Axe</t>
  </si>
  <si>
    <t>Attribution actuelle</t>
  </si>
  <si>
    <t>Source / remarque</t>
  </si>
  <si>
    <t>Biomes déclarés</t>
  </si>
  <si>
    <t>all</t>
  </si>
  <si>
    <t>Code CUO</t>
  </si>
  <si>
    <t>Règles de biome</t>
  </si>
  <si>
    <t>biome-rules.js</t>
  </si>
  <si>
    <t>Profils de map</t>
  </si>
  <si>
    <t>MAP_PROFILES V16.24</t>
  </si>
  <si>
    <t>Micro-scènes</t>
  </si>
  <si>
    <t>Gabarit déclaré; appel runtime absent</t>
  </si>
  <si>
    <t>Landmarks</t>
  </si>
  <si>
    <t>MAP_LANDMARKS</t>
  </si>
  <si>
    <t>Aucun gabarit</t>
  </si>
  <si>
    <t>Attribution documentaire proposée</t>
  </si>
  <si>
    <t>Déduction à valider</t>
  </si>
  <si>
    <t>Guide de validation du CUO</t>
  </si>
  <si>
    <t>Élément</t>
  </si>
  <si>
    <t>Signification</t>
  </si>
  <si>
    <t>Action attendue</t>
  </si>
  <si>
    <t>Couleur / valeur</t>
  </si>
  <si>
    <t>Actuel</t>
  </si>
  <si>
    <t>Valeur extraite du dépôt local (commit 40670c7 + modifications locales présentes)</t>
  </si>
  <si>
    <t>Ne modifier que si le catalogue doit changer</t>
  </si>
  <si>
    <t>Statut active</t>
  </si>
  <si>
    <t>Documentaire</t>
  </si>
  <si>
    <t>Objet explicitement cité dans le CUO V1, le cahier des charges ou une spécification validée</t>
  </si>
  <si>
    <t>Valider l’objet et ses attributions</t>
  </si>
  <si>
    <t>Statut documentary</t>
  </si>
  <si>
    <t>Proposé</t>
  </si>
  <si>
    <t>Attribution déduite de l’univers, du routage mission et des règles de génération</t>
  </si>
  <si>
    <t>Valider, corriger ou refuser</t>
  </si>
  <si>
    <t>Colonnes portant ‘proposé’</t>
  </si>
  <si>
    <t>Déjà instancié</t>
  </si>
  <si>
    <t>Distingue constructeur, gabarit micro-scène et présence réelle dans la population de carte</t>
  </si>
  <si>
    <t>Confirmer les cas partiels</t>
  </si>
  <si>
    <t>Oui / Partiel / Non</t>
  </si>
  <si>
    <t>Micro-scène actuelle</t>
  </si>
  <si>
    <t>Objet présent dans un gabarit; les gabarits ne sont pas encore appelés par le flux de carte</t>
  </si>
  <si>
    <t>Valider avant raccordement runtime</t>
  </si>
  <si>
    <t>Oui / Non</t>
  </si>
  <si>
    <t>Décision finale par objet</t>
  </si>
  <si>
    <t>Choisir dans la liste</t>
  </si>
  <si>
    <t>À valider / Validé / À corriger / Refusé / À discuter</t>
  </si>
  <si>
    <t>Validation modèle</t>
  </si>
  <si>
    <t>Faune, PNJ, habitations et technologies spéciales exigent une validation visuelle avant intégration</t>
  </si>
  <si>
    <t>Ne pas injecter avant validation</t>
  </si>
  <si>
    <t>Contrainte documentaire</t>
  </si>
  <si>
    <t>Bloquant pour l’intégration CUO complète</t>
  </si>
  <si>
    <t>Traiter en premier</t>
  </si>
  <si>
    <t>Priorité haute</t>
  </si>
  <si>
    <t>Important pour missions, micro-scènes ou règles d’état</t>
  </si>
  <si>
    <t>Traiter au second passage</t>
  </si>
  <si>
    <t>Priorité moyenne</t>
  </si>
  <si>
    <t>Décor, ambiance ou enrichissement secondaire</t>
  </si>
  <si>
    <t>Traiter après le socle</t>
  </si>
  <si>
    <t>Priorité basse</t>
  </si>
  <si>
    <t>Respawn</t>
  </si>
  <si>
    <t>Délai en secondes pour les ressources retirées du monde</t>
  </si>
  <si>
    <t>Conserver ≥ 30 s selon la validation CUO actuelle</t>
  </si>
  <si>
    <t>Sans objet pour les objets persistants</t>
  </si>
  <si>
    <t>Bush</t>
  </si>
  <si>
    <t>Buisson</t>
  </si>
  <si>
    <t>alien_bush</t>
  </si>
  <si>
    <t>forest · jungle · swamp · cave· forest · mountain</t>
  </si>
  <si>
    <t>Validé</t>
  </si>
  <si>
    <t>botany · adaptation · bioluminescence engineering · energy</t>
  </si>
  <si>
    <t>Étude de la flore · récolte durable · adaptation aux biomes - Étude des composants · projet technologique · déverrouillage narratif</t>
  </si>
  <si>
    <t>Large_rock</t>
  </si>
  <si>
    <t>Roche obstacle</t>
  </si>
  <si>
    <t>alien_large_rock</t>
  </si>
  <si>
    <t>Tous les biomes génériques - all default · forest · jungle · swamp · ruins · desert · mountain · cave · coast · tundra · volcanic · frozen · aquatic · crystalline · alien</t>
  </si>
  <si>
    <t>inspectable</t>
  </si>
  <si>
    <t>Reconnaissance du terrain · cartographie · indices géologiques - Possible — événements génériques, aucun objectif dédié</t>
  </si>
  <si>
    <t>— constructeur + population de carte+  séparateurs bordures</t>
  </si>
  <si>
    <t>À corriger</t>
  </si>
  <si>
    <t>Plutôt rare , revoir le design plus rectangle que cylindrique</t>
  </si>
  <si>
    <t>Plutôt rare , revoir le design plus tech/ couleur blanc et métallique, lueur violette</t>
  </si>
  <si>
    <t xml:space="preserve">observe · inspect - traverse geology  </t>
  </si>
  <si>
    <t>inspectable- message bluefox "trace de civilisation" - cout spawn - plutôt rare</t>
  </si>
  <si>
    <t>À discuter</t>
  </si>
  <si>
    <t>oui</t>
  </si>
  <si>
    <t>volcanic · frozen · desert · crystalline · electric/magnetic</t>
  </si>
  <si>
    <t>Équipement — modèle et capacité à valider 
Augmente la capacité d'inventaire de Bluefox permet plus de collecte avant de déposer à la base inventaire x2</t>
  </si>
  <si>
    <t>Habitation spéciale — validation visuelle du modèle obligatoire - faire propositions à valider</t>
  </si>
  <si>
    <t>biology - nourriture - survival · adaptation</t>
  </si>
  <si>
    <t>Ressource relativement rare mais abondantes en zone magnétic/électrique - recherche/construction/enineering - energie - geology  -design quartz lueur bleue — intégration autorisable après validation du tableau</t>
  </si>
  <si>
    <t>Ressource - possible collecte ultérieure par des drones — intégration autorisable après validation du tableau</t>
  </si>
  <si>
    <t>desert · mountain · volcanic -magnetic- électric</t>
  </si>
  <si>
    <t>desert · ruins · crash-site -magnetic- électric</t>
  </si>
  <si>
    <t>(persistant) mais composants extrait lors de la collecte respawn 12h</t>
  </si>
  <si>
    <t>Fouille technologique · composants · enquête sur une civilisation - récupération de composant pour engineering</t>
  </si>
  <si>
    <t>Engineering - drones</t>
  </si>
  <si>
    <t>Technologie spéciale — validation visuelle du modèle obligatoire - design ancienne machine, rouage, cubiqe métal, points clignotant violets</t>
  </si>
  <si>
    <t>Refusé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</si>
</sst>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sz val="10"/>
      <color rgb="FF243746"/>
      <name val="Aptos"/>
    </font>
    <font>
      <b/>
      <sz val="10"/>
      <color rgb="FFFFFFFF"/>
      <name val="Aptos Display"/>
    </font>
    <font>
      <b/>
      <sz val="11"/>
      <color rgb="FFFFFFFF"/>
      <name val="Carlito"/>
    </font>
    <font>
      <b/>
      <sz val="20"/>
      <color rgb="FFFFFFFF"/>
      <name val="Aptos"/>
    </font>
    <font>
      <sz val="11"/>
      <name val="Aptos"/>
    </font>
    <font>
      <i/>
      <sz val="11"/>
      <color rgb="FF17324D"/>
      <name val="Aptos"/>
    </font>
    <font>
      <b/>
      <sz val="11"/>
      <color rgb="FFFFFFFF"/>
      <name val="Aptos"/>
    </font>
    <font>
      <b/>
      <sz val="11"/>
      <color rgb="FF17324D"/>
      <name val="Aptos"/>
    </font>
    <font>
      <b/>
      <sz val="16"/>
      <color rgb="FF246B8E"/>
      <name val="Aptos"/>
    </font>
    <font>
      <b/>
      <sz val="10"/>
      <color rgb="FFFFFFFF"/>
      <name val="Aptos"/>
    </font>
    <font>
      <b/>
      <sz val="18"/>
      <color rgb="FFFFFFFF"/>
      <name val="Aptos Display"/>
    </font>
    <font>
      <sz val="11"/>
      <color rgb="FF243746"/>
      <name val="Aptos"/>
    </font>
    <font>
      <sz val="10"/>
      <color rgb="FF243746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F0F4"/>
      </patternFill>
    </fill>
    <fill>
      <patternFill patternType="solid">
        <fgColor rgb="FF246B8E"/>
      </patternFill>
    </fill>
    <fill>
      <patternFill patternType="solid">
        <fgColor rgb="FFEEF5F7"/>
      </patternFill>
    </fill>
    <fill>
      <patternFill patternType="solid">
        <fgColor rgb="FFFFFFFF"/>
      </patternFill>
    </fill>
    <fill>
      <patternFill patternType="solid">
        <fgColor rgb="FFFFF8DF"/>
      </patternFill>
    </fill>
    <fill>
      <patternFill patternType="solid">
        <fgColor rgb="FFF2C14E"/>
      </patternFill>
    </fill>
  </fills>
  <borders count="22">
    <border>
      <left/>
      <right/>
      <top/>
      <bottom/>
      <diagonal/>
    </border>
    <border>
      <left style="medium">
        <color rgb="FF17324D"/>
      </left>
      <right/>
      <top style="medium">
        <color rgb="FF17324D"/>
      </top>
      <bottom style="medium">
        <color rgb="FF17324D"/>
      </bottom>
      <diagonal/>
    </border>
    <border>
      <left/>
      <right/>
      <top style="medium">
        <color rgb="FF17324D"/>
      </top>
      <bottom style="medium">
        <color rgb="FF17324D"/>
      </bottom>
      <diagonal/>
    </border>
    <border>
      <left/>
      <right style="medium">
        <color rgb="FF17324D"/>
      </right>
      <top style="medium">
        <color rgb="FF17324D"/>
      </top>
      <bottom style="medium">
        <color rgb="FF17324D"/>
      </bottom>
      <diagonal/>
    </border>
    <border>
      <left style="thin">
        <color rgb="FFB7C9D3"/>
      </left>
      <right style="thin">
        <color rgb="FFB7C9D3"/>
      </right>
      <top style="thin">
        <color rgb="FFB7C9D3"/>
      </top>
      <bottom/>
      <diagonal/>
    </border>
    <border>
      <left style="thin">
        <color rgb="FFB7C9D3"/>
      </left>
      <right style="thin">
        <color rgb="FFB7C9D3"/>
      </right>
      <top/>
      <bottom/>
      <diagonal/>
    </border>
    <border>
      <left style="thin">
        <color rgb="FFB7C9D3"/>
      </left>
      <right style="thin">
        <color rgb="FFB7C9D3"/>
      </right>
      <top/>
      <bottom style="thin">
        <color rgb="FFB7C9D3"/>
      </bottom>
      <diagonal/>
    </border>
    <border>
      <left/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 style="thin">
        <color rgb="FFD8E2E8"/>
      </right>
      <top/>
      <bottom style="thin">
        <color rgb="FFD8E2E8"/>
      </bottom>
      <diagonal/>
    </border>
    <border>
      <left style="thin">
        <color rgb="FFD8E2E8"/>
      </left>
      <right/>
      <top/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  <border>
      <left style="thin">
        <color rgb="FFD8E2E8"/>
      </left>
      <right/>
      <top style="thin">
        <color rgb="FFD8E2E8"/>
      </top>
      <bottom style="thin">
        <color rgb="FFD8E2E8"/>
      </bottom>
      <diagonal/>
    </border>
    <border>
      <left/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/>
      <diagonal/>
    </border>
    <border>
      <left style="thin">
        <color rgb="FFD8E2E8"/>
      </left>
      <right/>
      <top style="thin">
        <color rgb="FFD8E2E8"/>
      </top>
      <bottom/>
      <diagonal/>
    </border>
    <border>
      <left/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 style="dotted">
        <color theme="2" tint="-0.24994659260841701"/>
      </right>
      <top style="medium">
        <color rgb="FF17324D"/>
      </top>
      <bottom/>
      <diagonal/>
    </border>
    <border>
      <left style="dotted">
        <color theme="2" tint="-0.24994659260841701"/>
      </left>
      <right/>
      <top style="medium">
        <color rgb="FF17324D"/>
      </top>
      <bottom/>
      <diagonal/>
    </border>
    <border>
      <left/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 style="dotted">
        <color theme="2" tint="-0.24994659260841701"/>
      </right>
      <top/>
      <bottom/>
      <diagonal/>
    </border>
    <border>
      <left style="dotted">
        <color theme="2" tint="-0.24994659260841701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7" fillId="4" borderId="0" xfId="0" applyFont="1" applyFill="1"/>
    <xf numFmtId="0" fontId="8" fillId="5" borderId="0" xfId="0" applyFont="1" applyFill="1"/>
    <xf numFmtId="1" fontId="9" fillId="6" borderId="4" xfId="0" applyNumberFormat="1" applyFont="1" applyFill="1" applyBorder="1" applyAlignment="1">
      <alignment horizontal="center"/>
    </xf>
    <xf numFmtId="0" fontId="5" fillId="7" borderId="0" xfId="0" applyFont="1" applyFill="1" applyAlignment="1">
      <alignment vertical="top" wrapText="1"/>
    </xf>
    <xf numFmtId="1" fontId="9" fillId="6" borderId="5" xfId="0" applyNumberFormat="1" applyFont="1" applyFill="1" applyBorder="1" applyAlignment="1">
      <alignment horizontal="center"/>
    </xf>
    <xf numFmtId="1" fontId="9" fillId="6" borderId="6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vertical="top" wrapText="1"/>
    </xf>
    <xf numFmtId="0" fontId="10" fillId="2" borderId="8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12" fillId="0" borderId="10" xfId="0" applyFont="1" applyBorder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2" fillId="0" borderId="12" xfId="0" applyFont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12" fillId="0" borderId="14" xfId="0" applyFont="1" applyBorder="1" applyAlignment="1">
      <alignment vertical="top" wrapText="1"/>
    </xf>
    <xf numFmtId="0" fontId="12" fillId="0" borderId="15" xfId="0" applyFont="1" applyBorder="1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6" fillId="3" borderId="0" xfId="0" applyFont="1" applyFill="1" applyAlignment="1">
      <alignment wrapText="1"/>
    </xf>
    <xf numFmtId="0" fontId="8" fillId="8" borderId="0" xfId="0" applyFont="1" applyFill="1" applyAlignment="1">
      <alignment wrapText="1"/>
    </xf>
    <xf numFmtId="0" fontId="11" fillId="2" borderId="0" xfId="0" applyFont="1" applyFill="1" applyAlignment="1">
      <alignment vertical="center"/>
    </xf>
    <xf numFmtId="0" fontId="1" fillId="0" borderId="16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1" fillId="0" borderId="20" xfId="0" applyFont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3" fillId="0" borderId="20" xfId="0" applyFont="1" applyBorder="1" applyAlignment="1">
      <alignment vertical="top" wrapText="1"/>
    </xf>
    <xf numFmtId="0" fontId="13" fillId="0" borderId="21" xfId="0" applyFont="1" applyBorder="1" applyAlignment="1">
      <alignment vertical="top" wrapText="1"/>
    </xf>
  </cellXfs>
  <cellStyles count="1">
    <cellStyle name="Normal" xfId="0" builtinId="0"/>
  </cellStyles>
  <dxfs count="59">
    <dxf>
      <font>
        <color rgb="FF785800"/>
      </font>
      <fill>
        <patternFill patternType="solid">
          <bgColor rgb="FFFFF3CD"/>
        </patternFill>
      </fill>
    </dxf>
    <dxf>
      <font>
        <b/>
        <color rgb="FF8B1E1E"/>
      </font>
      <fill>
        <patternFill patternType="solid">
          <bgColor rgb="FFFBE3E3"/>
        </patternFill>
      </fill>
    </dxf>
    <dxf>
      <font>
        <b/>
        <color rgb="FF1B5E35"/>
      </font>
      <fill>
        <patternFill patternType="solid">
          <bgColor rgb="FFDDF3E4"/>
        </patternFill>
      </fill>
    </dxf>
    <dxf>
      <fill>
        <patternFill patternType="solid">
          <bgColor rgb="FFD9F0F4"/>
        </patternFill>
      </fill>
    </dxf>
    <dxf>
      <border diagonalUp="0" diagonalDown="0">
        <left style="dotted">
          <color theme="2" tint="-0.24994659260841701"/>
        </left>
        <right/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 style="dotted">
          <color theme="2" tint="-0.24994659260841701"/>
        </left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  <dxf>
      <border diagonalUp="0" diagonalDown="0">
        <left/>
        <right style="dotted">
          <color theme="2" tint="-0.24994659260841701"/>
        </right>
        <top/>
        <bottom/>
        <vertical style="dotted">
          <color theme="2" tint="-0.2499465926084170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O_Master_Table" displayName="CUO_Master_Table" ref="A1:BC40" totalsRowShown="0">
  <autoFilter ref="A1:BC40" xr:uid="{00000000-000C-0000-FFFF-FFFF00000000}">
    <filterColumn colId="52">
      <filters>
        <filter val="P1"/>
      </filters>
    </filterColumn>
  </autoFilter>
  <tableColumns count="55">
    <tableColumn id="1" xr3:uid="{00000000-0010-0000-0000-000001000000}" name="ID CUO" dataDxfId="58"/>
    <tableColumn id="2" xr3:uid="{00000000-0010-0000-0000-000002000000}" name="Type technique" dataDxfId="57"/>
    <tableColumn id="3" xr3:uid="{00000000-0010-0000-0000-000003000000}" name="Nom affiché" dataDxfId="56"/>
    <tableColumn id="4" xr3:uid="{00000000-0010-0000-0000-000004000000}" name="Statut CUO" dataDxfId="55"/>
    <tableColumn id="5" xr3:uid="{00000000-0010-0000-0000-000005000000}" name="Catégorie" dataDxfId="54"/>
    <tableColumn id="6" xr3:uid="{00000000-0010-0000-0000-000006000000}" name="Sous-catégorie" dataDxfId="53"/>
    <tableColumn id="7" xr3:uid="{00000000-0010-0000-0000-000007000000}" name="Famille objet" dataDxfId="52"/>
    <tableColumn id="8" xr3:uid="{00000000-0010-0000-0000-000008000000}" name="Taille" dataDxfId="51"/>
    <tableColumn id="9" xr3:uid="{00000000-0010-0000-0000-000009000000}" name="Rareté" dataDxfId="50"/>
    <tableColumn id="10" xr3:uid="{00000000-0010-0000-0000-00000A000000}" name="Biomes déclarés (actuel)" dataDxfId="49"/>
    <tableColumn id="11" xr3:uid="{00000000-0010-0000-0000-00000B000000}" name="Biomes autorisés par règles" dataDxfId="48"/>
    <tableColumn id="12" xr3:uid="{00000000-0010-0000-0000-00000C000000}" name="Profils de map V16.24" dataDxfId="47"/>
    <tableColumn id="13" xr3:uid="{00000000-0010-0000-0000-00000D000000}" name="Biomes / maps proposés" dataDxfId="46"/>
    <tableColumn id="14" xr3:uid="{00000000-0010-0000-0000-00000E000000}" name="Micro-scène actuelle ?" dataDxfId="45"/>
    <tableColumn id="15" xr3:uid="{00000000-0010-0000-0000-00000F000000}" name="Gabarits micro-scène actuels" dataDxfId="44"/>
    <tableColumn id="16" xr3:uid="{00000000-0010-0000-0000-000010000000}" name="Landmarks actuels" dataDxfId="43"/>
    <tableColumn id="17" xr3:uid="{00000000-0010-0000-0000-000011000000}" name="Micro-scènes proposées" dataDxfId="42"/>
    <tableColumn id="18" xr3:uid="{00000000-0010-0000-0000-000012000000}" name="États possibles (proposition)" dataDxfId="41"/>
    <tableColumn id="19" xr3:uid="{00000000-0010-0000-0000-000013000000}" name="Interactions actuelles" dataDxfId="40"/>
    <tableColumn id="20" xr3:uid="{00000000-0010-0000-0000-000014000000}" name="Interaction par défaut" dataDxfId="39"/>
    <tableColumn id="21" xr3:uid="{00000000-0010-0000-0000-000015000000}" name="Interactions proposées / évolution" dataDxfId="38"/>
    <tableColumn id="22" xr3:uid="{00000000-0010-0000-0000-000016000000}" name="Interactif" dataDxfId="37"/>
    <tableColumn id="23" xr3:uid="{00000000-0010-0000-0000-000017000000}" name="Collectable" dataDxfId="36"/>
    <tableColumn id="24" xr3:uid="{00000000-0010-0000-0000-000018000000}" name="Inspectable" dataDxfId="35"/>
    <tableColumn id="25" xr3:uid="{00000000-0010-0000-0000-000019000000}" name="Destructible" dataDxfId="34"/>
    <tableColumn id="26" xr3:uid="{00000000-0010-0000-0000-00001A000000}" name="Obstacle" dataDxfId="33"/>
    <tableColumn id="27" xr3:uid="{00000000-0010-0000-0000-00001B000000}" name="Traversable" dataDxfId="32"/>
    <tableColumn id="28" xr3:uid="{00000000-0010-0000-0000-00001C000000}" name="Retiré du monde" dataDxfId="31"/>
    <tableColumn id="29" xr3:uid="{00000000-0010-0000-0000-00001D000000}" name="Respawn actuel (s)" dataDxfId="30"/>
    <tableColumn id="30" xr3:uid="{00000000-0010-0000-0000-00001E000000}" name="Respawn proposé (s)" dataDxfId="29"/>
    <tableColumn id="31" xr3:uid="{00000000-0010-0000-0000-00001F000000}" name="Clé inventaire" dataDxfId="28"/>
    <tableColumn id="32" xr3:uid="{00000000-0010-0000-0000-000020000000}" name="Exploitabilité" dataDxfId="27"/>
    <tableColumn id="33" xr3:uid="{00000000-0010-0000-0000-000021000000}" name="Famille connaissance" dataDxfId="26"/>
    <tableColumn id="34" xr3:uid="{00000000-0010-0000-0000-000022000000}" name="Domaines recherche" dataDxfId="25"/>
    <tableColumn id="35" xr3:uid="{00000000-0010-0000-0000-000023000000}" name="Lien mission actuel" dataDxfId="24"/>
    <tableColumn id="36" xr3:uid="{00000000-0010-0000-0000-000024000000}" name="Liens mission proposés" dataDxfId="23"/>
    <tableColumn id="37" xr3:uid="{00000000-0010-0000-0000-000025000000}" name="Événements objet" dataDxfId="22"/>
    <tableColumn id="38" xr3:uid="{00000000-0010-0000-0000-000026000000}" name="Tags situation/spawn" dataDxfId="21"/>
    <tableColumn id="39" xr3:uid="{00000000-0010-0000-0000-000027000000}" name="Coût spawn" dataDxfId="20"/>
    <tableColumn id="40" xr3:uid="{00000000-0010-0000-0000-000028000000}" name="Max / zone" dataDxfId="19"/>
    <tableColumn id="41" xr3:uid="{00000000-0010-0000-0000-000029000000}" name="Distance min" dataDxfId="18"/>
    <tableColumn id="42" xr3:uid="{00000000-0010-0000-0000-00002A000000}" name="Pente min" dataDxfId="17"/>
    <tableColumn id="43" xr3:uid="{00000000-0010-0000-0000-00002B000000}" name="Pente max" dataDxfId="16"/>
    <tableColumn id="44" xr3:uid="{00000000-0010-0000-0000-00002C000000}" name="Rayon placement" dataDxfId="15"/>
    <tableColumn id="45" xr3:uid="{00000000-0010-0000-0000-00002D000000}" name="Volume placement" dataDxfId="14"/>
    <tableColumn id="46" xr3:uid="{00000000-0010-0000-0000-00002E000000}" name="Curiosité IA" dataDxfId="13"/>
    <tableColumn id="47" xr3:uid="{00000000-0010-0000-0000-00002F000000}" name="Priorité récolte IA" dataDxfId="12"/>
    <tableColumn id="48" xr3:uid="{00000000-0010-0000-0000-000030000000}" name="Danger IA" dataDxfId="11"/>
    <tableColumn id="49" xr3:uid="{00000000-0010-0000-0000-000031000000}" name="Déjà instancié ?" dataDxfId="10"/>
    <tableColumn id="50" xr3:uid="{00000000-0010-0000-0000-000032000000}" name="Constructeur 3D" dataDxfId="9"/>
    <tableColumn id="51" xr3:uid="{00000000-0010-0000-0000-000033000000}" name="Origine des attributions" dataDxfId="8"/>
    <tableColumn id="52" xr3:uid="{00000000-0010-0000-0000-000034000000}" name="Confiance déduction" dataDxfId="7"/>
    <tableColumn id="53" xr3:uid="{00000000-0010-0000-0000-000035000000}" name="Priorité validation" dataDxfId="6"/>
    <tableColumn id="54" xr3:uid="{00000000-0010-0000-0000-000036000000}" name="Décision relecteur" dataDxfId="5"/>
    <tableColumn id="55" xr3:uid="{00000000-0010-0000-0000-000037000000}" name="Valeur corrigée / commentair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ome_MicroScene_Table" displayName="Biome_MicroScene_Table" ref="A1:D115" totalsRowShown="0">
  <tableColumns count="4">
    <tableColumn id="1" xr3:uid="{00000000-0010-0000-0100-000001000000}" name="Type objet"/>
    <tableColumn id="2" xr3:uid="{00000000-0010-0000-0100-000002000000}" name="Axe"/>
    <tableColumn id="3" xr3:uid="{00000000-0010-0000-0100-000003000000}" name="Attribution actuelle"/>
    <tableColumn id="4" xr3:uid="{00000000-0010-0000-0100-000004000000}" name="Source / remar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workbookViewId="0">
      <selection sqref="A1:H2"/>
    </sheetView>
  </sheetViews>
  <sheetFormatPr baseColWidth="10" defaultColWidth="9" defaultRowHeight="14.25"/>
  <cols>
    <col min="1" max="1" width="40" customWidth="1"/>
    <col min="2" max="3" width="20" customWidth="1"/>
    <col min="4" max="4" width="14" customWidth="1"/>
    <col min="5" max="5" width="22" customWidth="1"/>
    <col min="6" max="6" width="46" customWidth="1"/>
    <col min="7" max="8" width="20" customWidth="1"/>
  </cols>
  <sheetData>
    <row r="1" spans="1:8">
      <c r="A1" s="29" t="s">
        <v>0</v>
      </c>
      <c r="B1" s="29"/>
      <c r="C1" s="29"/>
      <c r="D1" s="29"/>
      <c r="E1" s="29"/>
      <c r="F1" s="29"/>
      <c r="G1" s="29"/>
      <c r="H1" s="29"/>
    </row>
    <row r="2" spans="1:8">
      <c r="A2" s="29"/>
      <c r="B2" s="29"/>
      <c r="C2" s="29"/>
      <c r="D2" s="29"/>
      <c r="E2" s="29"/>
      <c r="F2" s="29"/>
      <c r="G2" s="29"/>
      <c r="H2" s="29"/>
    </row>
    <row r="3" spans="1:8" ht="15">
      <c r="A3" s="4"/>
      <c r="B3" s="4"/>
      <c r="C3" s="4"/>
      <c r="D3" s="4"/>
      <c r="E3" s="4"/>
      <c r="F3" s="4"/>
      <c r="G3" s="4"/>
      <c r="H3" s="4"/>
    </row>
    <row r="4" spans="1:8" ht="32.1" customHeight="1">
      <c r="A4" s="30" t="s">
        <v>1</v>
      </c>
      <c r="B4" s="30"/>
      <c r="C4" s="30"/>
      <c r="D4" s="30"/>
      <c r="E4" s="30"/>
      <c r="F4" s="30"/>
      <c r="G4" s="30"/>
      <c r="H4" s="30"/>
    </row>
    <row r="5" spans="1:8" ht="15">
      <c r="A5" s="4"/>
      <c r="B5" s="4"/>
      <c r="C5" s="4"/>
      <c r="D5" s="4"/>
      <c r="E5" s="4"/>
      <c r="F5" s="4"/>
      <c r="G5" s="4"/>
      <c r="H5" s="4"/>
    </row>
    <row r="6" spans="1:8" ht="15">
      <c r="A6" s="5" t="s">
        <v>2</v>
      </c>
      <c r="B6" s="5" t="s">
        <v>3</v>
      </c>
      <c r="C6" s="4"/>
      <c r="D6" s="5" t="s">
        <v>4</v>
      </c>
      <c r="E6" s="5" t="s">
        <v>5</v>
      </c>
      <c r="F6" s="5" t="s">
        <v>6</v>
      </c>
      <c r="G6" s="4"/>
      <c r="H6" s="4"/>
    </row>
    <row r="7" spans="1:8" ht="21">
      <c r="A7" s="6" t="s">
        <v>7</v>
      </c>
      <c r="B7" s="7">
        <f>COUNTA(CUO_Master!$A$2:$A$40)</f>
        <v>36</v>
      </c>
      <c r="C7" s="4"/>
      <c r="D7" s="8" t="s">
        <v>8</v>
      </c>
      <c r="E7" s="8" t="s">
        <v>9</v>
      </c>
      <c r="F7" s="8" t="s">
        <v>10</v>
      </c>
      <c r="G7" s="4"/>
      <c r="H7" s="4"/>
    </row>
    <row r="8" spans="1:8" ht="21">
      <c r="A8" s="6" t="s">
        <v>11</v>
      </c>
      <c r="B8" s="9">
        <f>COUNTIF(CUO_Master!$AX$2:$AX$40,"Oui")</f>
        <v>15</v>
      </c>
      <c r="C8" s="4"/>
      <c r="D8" s="8" t="s">
        <v>8</v>
      </c>
      <c r="E8" s="8" t="s">
        <v>12</v>
      </c>
      <c r="F8" s="8" t="s">
        <v>13</v>
      </c>
      <c r="G8" s="4"/>
      <c r="H8" s="4"/>
    </row>
    <row r="9" spans="1:8" ht="21">
      <c r="A9" s="6" t="s">
        <v>14</v>
      </c>
      <c r="B9" s="9">
        <f>COUNTIF(CUO_Master!$D$2:$D$40,"documentary")</f>
        <v>24</v>
      </c>
      <c r="C9" s="4"/>
      <c r="D9" s="8" t="s">
        <v>8</v>
      </c>
      <c r="E9" s="8" t="s">
        <v>15</v>
      </c>
      <c r="F9" s="8" t="s">
        <v>16</v>
      </c>
      <c r="G9" s="4"/>
      <c r="H9" s="4"/>
    </row>
    <row r="10" spans="1:8" ht="21">
      <c r="A10" s="6" t="s">
        <v>17</v>
      </c>
      <c r="B10" s="9">
        <f>COUNTIF(CUO_Master!$N$2:$N$40,"Oui")</f>
        <v>10</v>
      </c>
      <c r="C10" s="4"/>
      <c r="D10" s="8" t="s">
        <v>8</v>
      </c>
      <c r="E10" s="8" t="s">
        <v>18</v>
      </c>
      <c r="F10" s="8" t="s">
        <v>19</v>
      </c>
      <c r="G10" s="4"/>
      <c r="H10" s="4"/>
    </row>
    <row r="11" spans="1:8" ht="21">
      <c r="A11" s="6" t="s">
        <v>20</v>
      </c>
      <c r="B11" s="10">
        <f>COUNTIF(CUO_Master!$BB$2:$BB$40,"Validé")</f>
        <v>4</v>
      </c>
      <c r="C11" s="4"/>
      <c r="D11" s="4"/>
      <c r="E11" s="4"/>
      <c r="F11" s="4"/>
      <c r="G11" s="4"/>
      <c r="H11" s="4"/>
    </row>
    <row r="12" spans="1:8" ht="33.950000000000003" customHeight="1">
      <c r="A12" s="31" t="s">
        <v>21</v>
      </c>
      <c r="B12" s="31"/>
      <c r="C12" s="31"/>
      <c r="D12" s="31"/>
      <c r="E12" s="31"/>
      <c r="F12" s="31"/>
      <c r="G12" s="31"/>
      <c r="H12" s="31"/>
    </row>
    <row r="13" spans="1:8" ht="15">
      <c r="A13" s="4"/>
      <c r="B13" s="4"/>
      <c r="C13" s="4"/>
      <c r="D13" s="4"/>
      <c r="E13" s="4"/>
      <c r="F13" s="4"/>
      <c r="G13" s="4"/>
      <c r="H13" s="4"/>
    </row>
    <row r="14" spans="1:8" ht="15">
      <c r="A14" s="4"/>
      <c r="B14" s="4"/>
      <c r="C14" s="4"/>
      <c r="D14" s="4"/>
      <c r="E14" s="4"/>
      <c r="F14" s="4"/>
      <c r="G14" s="4"/>
      <c r="H14" s="4"/>
    </row>
  </sheetData>
  <mergeCells count="3">
    <mergeCell ref="A1:H2"/>
    <mergeCell ref="A4:H4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40"/>
  <sheetViews>
    <sheetView showGridLines="0" tabSelected="1" workbookViewId="0">
      <pane xSplit="3" ySplit="1" topLeftCell="D19" activePane="bottomRight" state="frozen"/>
      <selection pane="topRight" activeCell="D1" sqref="D1"/>
      <selection pane="bottomLeft" activeCell="A2" sqref="A2"/>
      <selection pane="bottomRight" activeCell="BB30" sqref="BB30"/>
    </sheetView>
  </sheetViews>
  <sheetFormatPr baseColWidth="10" defaultColWidth="9" defaultRowHeight="14.25"/>
  <cols>
    <col min="1" max="1" width="1.125" customWidth="1"/>
    <col min="2" max="2" width="17" customWidth="1"/>
    <col min="3" max="3" width="15.75" customWidth="1"/>
    <col min="4" max="4" width="12" customWidth="1"/>
    <col min="5" max="5" width="17" customWidth="1"/>
    <col min="6" max="6" width="28" customWidth="1"/>
    <col min="7" max="7" width="19" customWidth="1"/>
    <col min="8" max="8" width="8" customWidth="1"/>
    <col min="9" max="9" width="11" customWidth="1"/>
    <col min="10" max="11" width="30" customWidth="1"/>
    <col min="12" max="12" width="32" customWidth="1"/>
    <col min="13" max="13" width="42" customWidth="1"/>
    <col min="14" max="14" width="14" customWidth="1"/>
    <col min="15" max="15" width="36" customWidth="1"/>
    <col min="16" max="16" width="26" customWidth="1"/>
    <col min="17" max="17" width="34" customWidth="1"/>
    <col min="18" max="18" width="48" customWidth="1"/>
    <col min="19" max="19" width="35" customWidth="1"/>
    <col min="20" max="20" width="18" customWidth="1"/>
    <col min="21" max="21" width="36" customWidth="1"/>
    <col min="22" max="24" width="11" customWidth="1"/>
    <col min="25" max="25" width="12" customWidth="1"/>
    <col min="26" max="26" width="10" customWidth="1"/>
    <col min="27" max="27" width="11" customWidth="1"/>
    <col min="28" max="28" width="13" customWidth="1"/>
    <col min="29" max="29" width="15" customWidth="1"/>
    <col min="30" max="30" width="17" customWidth="1"/>
    <col min="31" max="32" width="18" customWidth="1"/>
    <col min="33" max="33" width="20" customWidth="1"/>
    <col min="34" max="34" width="32" customWidth="1"/>
    <col min="35" max="35" width="34" customWidth="1"/>
    <col min="36" max="36" width="42" customWidth="1"/>
    <col min="37" max="37" width="34" customWidth="1"/>
    <col min="38" max="38" width="42" customWidth="1"/>
    <col min="39" max="40" width="12" customWidth="1"/>
    <col min="41" max="41" width="14" customWidth="1"/>
    <col min="42" max="43" width="11" customWidth="1"/>
    <col min="44" max="45" width="15" customWidth="1"/>
    <col min="46" max="46" width="11" customWidth="1"/>
    <col min="47" max="47" width="15" customWidth="1"/>
    <col min="48" max="48" width="11" customWidth="1"/>
    <col min="49" max="49" width="42" customWidth="1"/>
    <col min="50" max="50" width="15" customWidth="1"/>
    <col min="51" max="51" width="34" customWidth="1"/>
    <col min="52" max="53" width="12" customWidth="1"/>
    <col min="54" max="54" width="16" customWidth="1"/>
    <col min="55" max="55" width="38" customWidth="1"/>
  </cols>
  <sheetData>
    <row r="1" spans="1:55" ht="44.1" customHeight="1" thickBot="1">
      <c r="A1" s="1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  <c r="R1" s="2" t="s">
        <v>39</v>
      </c>
      <c r="S1" s="2" t="s">
        <v>40</v>
      </c>
      <c r="T1" s="2" t="s">
        <v>41</v>
      </c>
      <c r="U1" s="2" t="s">
        <v>42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2" t="s">
        <v>48</v>
      </c>
      <c r="AB1" s="2" t="s">
        <v>49</v>
      </c>
      <c r="AC1" s="2" t="s">
        <v>50</v>
      </c>
      <c r="AD1" s="2" t="s">
        <v>51</v>
      </c>
      <c r="AE1" s="2" t="s">
        <v>52</v>
      </c>
      <c r="AF1" s="2" t="s">
        <v>53</v>
      </c>
      <c r="AG1" s="2" t="s">
        <v>54</v>
      </c>
      <c r="AH1" s="2" t="s">
        <v>55</v>
      </c>
      <c r="AI1" s="2" t="s">
        <v>56</v>
      </c>
      <c r="AJ1" s="2" t="s">
        <v>57</v>
      </c>
      <c r="AK1" s="2" t="s">
        <v>58</v>
      </c>
      <c r="AL1" s="2" t="s">
        <v>59</v>
      </c>
      <c r="AM1" s="2" t="s">
        <v>60</v>
      </c>
      <c r="AN1" s="2" t="s">
        <v>61</v>
      </c>
      <c r="AO1" s="2" t="s">
        <v>62</v>
      </c>
      <c r="AP1" s="2" t="s">
        <v>63</v>
      </c>
      <c r="AQ1" s="2" t="s">
        <v>64</v>
      </c>
      <c r="AR1" s="2" t="s">
        <v>65</v>
      </c>
      <c r="AS1" s="2" t="s">
        <v>66</v>
      </c>
      <c r="AT1" s="2" t="s">
        <v>67</v>
      </c>
      <c r="AU1" s="2" t="s">
        <v>68</v>
      </c>
      <c r="AV1" s="2" t="s">
        <v>69</v>
      </c>
      <c r="AW1" s="2" t="s">
        <v>70</v>
      </c>
      <c r="AX1" s="2" t="s">
        <v>71</v>
      </c>
      <c r="AY1" s="2" t="s">
        <v>72</v>
      </c>
      <c r="AZ1" s="2" t="s">
        <v>73</v>
      </c>
      <c r="BA1" s="2" t="s">
        <v>74</v>
      </c>
      <c r="BB1" s="2" t="s">
        <v>75</v>
      </c>
      <c r="BC1" s="3" t="s">
        <v>76</v>
      </c>
    </row>
    <row r="2" spans="1:55" ht="62.1" customHeight="1">
      <c r="A2" s="33" t="s">
        <v>77</v>
      </c>
      <c r="B2" s="34" t="s">
        <v>78</v>
      </c>
      <c r="C2" s="34" t="s">
        <v>79</v>
      </c>
      <c r="D2" s="34" t="s">
        <v>80</v>
      </c>
      <c r="E2" s="34" t="s">
        <v>81</v>
      </c>
      <c r="F2" s="34" t="s">
        <v>82</v>
      </c>
      <c r="G2" s="34" t="s">
        <v>78</v>
      </c>
      <c r="H2" s="34" t="s">
        <v>83</v>
      </c>
      <c r="I2" s="34" t="s">
        <v>84</v>
      </c>
      <c r="J2" s="34" t="s">
        <v>85</v>
      </c>
      <c r="K2" s="34" t="s">
        <v>86</v>
      </c>
      <c r="L2" s="34" t="s">
        <v>87</v>
      </c>
      <c r="M2" s="34" t="s">
        <v>88</v>
      </c>
      <c r="N2" s="34" t="s">
        <v>89</v>
      </c>
      <c r="O2" s="34" t="s">
        <v>90</v>
      </c>
      <c r="P2" s="34" t="s">
        <v>91</v>
      </c>
      <c r="Q2" s="34" t="s">
        <v>92</v>
      </c>
      <c r="R2" s="34" t="s">
        <v>93</v>
      </c>
      <c r="S2" s="34" t="s">
        <v>94</v>
      </c>
      <c r="T2" s="34" t="s">
        <v>95</v>
      </c>
      <c r="U2" s="34" t="s">
        <v>94</v>
      </c>
      <c r="V2" s="34" t="s">
        <v>89</v>
      </c>
      <c r="W2" s="34" t="s">
        <v>89</v>
      </c>
      <c r="X2" s="34" t="s">
        <v>96</v>
      </c>
      <c r="Y2" s="34" t="s">
        <v>97</v>
      </c>
      <c r="Z2" s="34" t="s">
        <v>89</v>
      </c>
      <c r="AA2" s="34" t="s">
        <v>96</v>
      </c>
      <c r="AB2" s="34" t="s">
        <v>89</v>
      </c>
      <c r="AC2" s="34">
        <v>75</v>
      </c>
      <c r="AD2" s="34">
        <v>75</v>
      </c>
      <c r="AE2" s="34" t="s">
        <v>78</v>
      </c>
      <c r="AF2" s="34" t="s">
        <v>98</v>
      </c>
      <c r="AG2" s="34" t="s">
        <v>99</v>
      </c>
      <c r="AH2" s="34" t="s">
        <v>100</v>
      </c>
      <c r="AI2" s="34" t="s">
        <v>101</v>
      </c>
      <c r="AJ2" s="34" t="s">
        <v>102</v>
      </c>
      <c r="AK2" s="34" t="s">
        <v>103</v>
      </c>
      <c r="AL2" s="34" t="s">
        <v>104</v>
      </c>
      <c r="AM2" s="34">
        <v>3</v>
      </c>
      <c r="AN2" s="34">
        <v>5</v>
      </c>
      <c r="AO2" s="34">
        <v>2.2000000000000002</v>
      </c>
      <c r="AP2" s="34">
        <v>0</v>
      </c>
      <c r="AQ2" s="34">
        <v>35</v>
      </c>
      <c r="AR2" s="34">
        <v>1.05</v>
      </c>
      <c r="AS2" s="34" t="s">
        <v>105</v>
      </c>
      <c r="AT2" s="34">
        <v>0.95</v>
      </c>
      <c r="AU2" s="34">
        <v>1</v>
      </c>
      <c r="AV2" s="34">
        <v>0</v>
      </c>
      <c r="AW2" s="34" t="s">
        <v>106</v>
      </c>
      <c r="AX2" s="34" t="s">
        <v>89</v>
      </c>
      <c r="AY2" s="34" t="s">
        <v>107</v>
      </c>
      <c r="AZ2" s="34" t="s">
        <v>108</v>
      </c>
      <c r="BA2" s="34" t="s">
        <v>8</v>
      </c>
      <c r="BB2" s="34" t="s">
        <v>648</v>
      </c>
      <c r="BC2" s="35"/>
    </row>
    <row r="3" spans="1:55" ht="62.1" customHeight="1">
      <c r="A3" s="36" t="s">
        <v>110</v>
      </c>
      <c r="B3" s="37" t="s">
        <v>111</v>
      </c>
      <c r="C3" s="37" t="s">
        <v>112</v>
      </c>
      <c r="D3" s="37" t="s">
        <v>80</v>
      </c>
      <c r="E3" s="37" t="s">
        <v>81</v>
      </c>
      <c r="F3" s="37" t="s">
        <v>113</v>
      </c>
      <c r="G3" s="37" t="s">
        <v>111</v>
      </c>
      <c r="H3" s="37" t="s">
        <v>114</v>
      </c>
      <c r="I3" s="37" t="s">
        <v>84</v>
      </c>
      <c r="J3" s="37" t="s">
        <v>115</v>
      </c>
      <c r="K3" s="37" t="s">
        <v>116</v>
      </c>
      <c r="L3" s="37" t="s">
        <v>87</v>
      </c>
      <c r="M3" s="37" t="s">
        <v>117</v>
      </c>
      <c r="N3" s="37" t="s">
        <v>89</v>
      </c>
      <c r="O3" s="37" t="s">
        <v>118</v>
      </c>
      <c r="P3" s="37" t="s">
        <v>91</v>
      </c>
      <c r="Q3" s="37" t="s">
        <v>119</v>
      </c>
      <c r="R3" s="37" t="s">
        <v>120</v>
      </c>
      <c r="S3" s="37" t="s">
        <v>94</v>
      </c>
      <c r="T3" s="37" t="s">
        <v>95</v>
      </c>
      <c r="U3" s="37" t="s">
        <v>94</v>
      </c>
      <c r="V3" s="37" t="s">
        <v>89</v>
      </c>
      <c r="W3" s="37" t="s">
        <v>89</v>
      </c>
      <c r="X3" s="37" t="s">
        <v>96</v>
      </c>
      <c r="Y3" s="37" t="s">
        <v>89</v>
      </c>
      <c r="Z3" s="37" t="s">
        <v>97</v>
      </c>
      <c r="AA3" s="37" t="s">
        <v>96</v>
      </c>
      <c r="AB3" s="37" t="s">
        <v>89</v>
      </c>
      <c r="AC3" s="37">
        <v>45</v>
      </c>
      <c r="AD3" s="37">
        <v>45</v>
      </c>
      <c r="AE3" s="37" t="s">
        <v>111</v>
      </c>
      <c r="AF3" s="37" t="s">
        <v>121</v>
      </c>
      <c r="AG3" s="37" t="s">
        <v>122</v>
      </c>
      <c r="AH3" s="37" t="s">
        <v>123</v>
      </c>
      <c r="AI3" s="37" t="s">
        <v>124</v>
      </c>
      <c r="AJ3" s="37" t="s">
        <v>125</v>
      </c>
      <c r="AK3" s="37" t="s">
        <v>103</v>
      </c>
      <c r="AL3" s="37" t="s">
        <v>126</v>
      </c>
      <c r="AM3" s="37">
        <v>2</v>
      </c>
      <c r="AN3" s="37">
        <v>7</v>
      </c>
      <c r="AO3" s="37">
        <v>1.4</v>
      </c>
      <c r="AP3" s="37">
        <v>0</v>
      </c>
      <c r="AQ3" s="37">
        <v>30</v>
      </c>
      <c r="AR3" s="37">
        <v>0.82</v>
      </c>
      <c r="AS3" s="37" t="s">
        <v>127</v>
      </c>
      <c r="AT3" s="37">
        <v>0.65</v>
      </c>
      <c r="AU3" s="37">
        <v>0.8</v>
      </c>
      <c r="AV3" s="37">
        <v>0</v>
      </c>
      <c r="AW3" s="37" t="s">
        <v>106</v>
      </c>
      <c r="AX3" s="37" t="s">
        <v>89</v>
      </c>
      <c r="AY3" s="37" t="s">
        <v>107</v>
      </c>
      <c r="AZ3" s="37" t="s">
        <v>108</v>
      </c>
      <c r="BA3" s="37" t="s">
        <v>8</v>
      </c>
      <c r="BB3" s="37" t="s">
        <v>648</v>
      </c>
      <c r="BC3" s="38"/>
    </row>
    <row r="4" spans="1:55" ht="62.1" customHeight="1">
      <c r="A4" s="36" t="s">
        <v>128</v>
      </c>
      <c r="B4" s="37" t="s">
        <v>18</v>
      </c>
      <c r="C4" s="37" t="s">
        <v>129</v>
      </c>
      <c r="D4" s="37" t="s">
        <v>80</v>
      </c>
      <c r="E4" s="37" t="s">
        <v>81</v>
      </c>
      <c r="F4" s="37" t="s">
        <v>130</v>
      </c>
      <c r="G4" s="37" t="s">
        <v>131</v>
      </c>
      <c r="H4" s="37" t="s">
        <v>83</v>
      </c>
      <c r="I4" s="37" t="s">
        <v>132</v>
      </c>
      <c r="J4" s="37" t="s">
        <v>133</v>
      </c>
      <c r="K4" s="37" t="s">
        <v>134</v>
      </c>
      <c r="L4" s="37" t="s">
        <v>135</v>
      </c>
      <c r="M4" s="37" t="s">
        <v>136</v>
      </c>
      <c r="N4" s="37" t="s">
        <v>97</v>
      </c>
      <c r="O4" s="37" t="s">
        <v>91</v>
      </c>
      <c r="P4" s="37" t="s">
        <v>91</v>
      </c>
      <c r="Q4" s="37" t="s">
        <v>137</v>
      </c>
      <c r="R4" s="37" t="s">
        <v>138</v>
      </c>
      <c r="S4" s="37" t="s">
        <v>139</v>
      </c>
      <c r="T4" s="39" t="s">
        <v>140</v>
      </c>
      <c r="U4" s="37" t="s">
        <v>139</v>
      </c>
      <c r="V4" s="37" t="s">
        <v>89</v>
      </c>
      <c r="W4" s="37" t="s">
        <v>89</v>
      </c>
      <c r="X4" s="37" t="s">
        <v>89</v>
      </c>
      <c r="Y4" s="37" t="s">
        <v>97</v>
      </c>
      <c r="Z4" s="37" t="s">
        <v>89</v>
      </c>
      <c r="AA4" s="37" t="s">
        <v>96</v>
      </c>
      <c r="AB4" s="37" t="s">
        <v>89</v>
      </c>
      <c r="AC4" s="37">
        <v>75</v>
      </c>
      <c r="AD4" s="37">
        <v>75</v>
      </c>
      <c r="AE4" s="37" t="s">
        <v>18</v>
      </c>
      <c r="AF4" s="37" t="s">
        <v>98</v>
      </c>
      <c r="AG4" s="37" t="s">
        <v>99</v>
      </c>
      <c r="AH4" s="37" t="s">
        <v>141</v>
      </c>
      <c r="AI4" s="37" t="s">
        <v>142</v>
      </c>
      <c r="AJ4" s="37" t="s">
        <v>143</v>
      </c>
      <c r="AK4" s="37" t="s">
        <v>103</v>
      </c>
      <c r="AL4" s="37" t="s">
        <v>144</v>
      </c>
      <c r="AM4" s="37">
        <v>4</v>
      </c>
      <c r="AN4" s="37">
        <v>4</v>
      </c>
      <c r="AO4" s="37">
        <v>2.5</v>
      </c>
      <c r="AP4" s="37">
        <v>0</v>
      </c>
      <c r="AQ4" s="37">
        <v>42</v>
      </c>
      <c r="AR4" s="37">
        <v>1.1000000000000001</v>
      </c>
      <c r="AS4" s="37" t="s">
        <v>105</v>
      </c>
      <c r="AT4" s="37">
        <v>0.9</v>
      </c>
      <c r="AU4" s="37">
        <v>0.88</v>
      </c>
      <c r="AV4" s="37">
        <v>0.05</v>
      </c>
      <c r="AW4" s="37" t="s">
        <v>106</v>
      </c>
      <c r="AX4" s="37" t="s">
        <v>89</v>
      </c>
      <c r="AY4" s="37" t="s">
        <v>107</v>
      </c>
      <c r="AZ4" s="37" t="s">
        <v>108</v>
      </c>
      <c r="BA4" s="37" t="s">
        <v>8</v>
      </c>
      <c r="BB4" s="37" t="s">
        <v>648</v>
      </c>
      <c r="BC4" s="38"/>
    </row>
    <row r="5" spans="1:55" ht="62.1" customHeight="1">
      <c r="A5" s="36" t="s">
        <v>145</v>
      </c>
      <c r="B5" s="37" t="s">
        <v>15</v>
      </c>
      <c r="C5" s="37" t="s">
        <v>146</v>
      </c>
      <c r="D5" s="37" t="s">
        <v>80</v>
      </c>
      <c r="E5" s="37" t="s">
        <v>81</v>
      </c>
      <c r="F5" s="37" t="s">
        <v>147</v>
      </c>
      <c r="G5" s="37" t="s">
        <v>148</v>
      </c>
      <c r="H5" s="37" t="s">
        <v>114</v>
      </c>
      <c r="I5" s="37" t="s">
        <v>132</v>
      </c>
      <c r="J5" s="37" t="s">
        <v>149</v>
      </c>
      <c r="K5" s="37" t="s">
        <v>150</v>
      </c>
      <c r="L5" s="37" t="s">
        <v>151</v>
      </c>
      <c r="M5" s="37" t="s">
        <v>152</v>
      </c>
      <c r="N5" s="37" t="s">
        <v>97</v>
      </c>
      <c r="O5" s="37" t="s">
        <v>91</v>
      </c>
      <c r="P5" s="37" t="s">
        <v>91</v>
      </c>
      <c r="Q5" s="37" t="s">
        <v>153</v>
      </c>
      <c r="R5" s="37" t="s">
        <v>154</v>
      </c>
      <c r="S5" s="37" t="s">
        <v>155</v>
      </c>
      <c r="T5" s="37" t="s">
        <v>156</v>
      </c>
      <c r="U5" s="37" t="s">
        <v>155</v>
      </c>
      <c r="V5" s="37" t="s">
        <v>89</v>
      </c>
      <c r="W5" s="37" t="s">
        <v>89</v>
      </c>
      <c r="X5" s="37" t="s">
        <v>89</v>
      </c>
      <c r="Y5" s="37" t="s">
        <v>89</v>
      </c>
      <c r="Z5" s="37" t="s">
        <v>97</v>
      </c>
      <c r="AA5" s="37" t="s">
        <v>96</v>
      </c>
      <c r="AB5" s="37" t="s">
        <v>89</v>
      </c>
      <c r="AC5" s="37">
        <v>45</v>
      </c>
      <c r="AD5" s="37">
        <v>45</v>
      </c>
      <c r="AE5" s="37" t="s">
        <v>157</v>
      </c>
      <c r="AF5" s="37" t="s">
        <v>121</v>
      </c>
      <c r="AG5" s="37" t="s">
        <v>122</v>
      </c>
      <c r="AH5" s="39" t="s">
        <v>649</v>
      </c>
      <c r="AI5" s="37" t="s">
        <v>158</v>
      </c>
      <c r="AJ5" s="39" t="s">
        <v>650</v>
      </c>
      <c r="AK5" s="37" t="s">
        <v>103</v>
      </c>
      <c r="AL5" s="37" t="s">
        <v>159</v>
      </c>
      <c r="AM5" s="37">
        <v>3</v>
      </c>
      <c r="AN5" s="37">
        <v>5</v>
      </c>
      <c r="AO5" s="37">
        <v>1.8</v>
      </c>
      <c r="AP5" s="37">
        <v>0</v>
      </c>
      <c r="AQ5" s="37">
        <v>30</v>
      </c>
      <c r="AR5" s="37">
        <v>0.8</v>
      </c>
      <c r="AS5" s="37" t="s">
        <v>127</v>
      </c>
      <c r="AT5" s="37">
        <v>0.92</v>
      </c>
      <c r="AU5" s="37">
        <v>0.66</v>
      </c>
      <c r="AV5" s="37">
        <v>0</v>
      </c>
      <c r="AW5" s="37" t="s">
        <v>106</v>
      </c>
      <c r="AX5" s="37" t="s">
        <v>89</v>
      </c>
      <c r="AY5" s="37" t="s">
        <v>107</v>
      </c>
      <c r="AZ5" s="37" t="s">
        <v>108</v>
      </c>
      <c r="BA5" s="37" t="s">
        <v>8</v>
      </c>
      <c r="BB5" s="37" t="s">
        <v>109</v>
      </c>
      <c r="BC5" s="38"/>
    </row>
    <row r="6" spans="1:55" ht="62.1" customHeight="1">
      <c r="A6" s="36" t="s">
        <v>160</v>
      </c>
      <c r="B6" s="37" t="s">
        <v>9</v>
      </c>
      <c r="C6" s="37" t="s">
        <v>161</v>
      </c>
      <c r="D6" s="37" t="s">
        <v>80</v>
      </c>
      <c r="E6" s="37" t="s">
        <v>162</v>
      </c>
      <c r="F6" s="37" t="s">
        <v>163</v>
      </c>
      <c r="G6" s="37" t="s">
        <v>162</v>
      </c>
      <c r="H6" s="37" t="s">
        <v>83</v>
      </c>
      <c r="I6" s="37" t="s">
        <v>164</v>
      </c>
      <c r="J6" s="37" t="s">
        <v>165</v>
      </c>
      <c r="K6" s="37" t="s">
        <v>165</v>
      </c>
      <c r="L6" s="37" t="s">
        <v>91</v>
      </c>
      <c r="M6" s="37" t="s">
        <v>165</v>
      </c>
      <c r="N6" s="37" t="s">
        <v>97</v>
      </c>
      <c r="O6" s="37" t="s">
        <v>91</v>
      </c>
      <c r="P6" s="37" t="s">
        <v>91</v>
      </c>
      <c r="Q6" s="37" t="s">
        <v>166</v>
      </c>
      <c r="R6" s="37" t="s">
        <v>167</v>
      </c>
      <c r="S6" s="37" t="s">
        <v>168</v>
      </c>
      <c r="T6" s="37" t="s">
        <v>156</v>
      </c>
      <c r="U6" s="37" t="s">
        <v>168</v>
      </c>
      <c r="V6" s="37" t="s">
        <v>89</v>
      </c>
      <c r="W6" s="37" t="s">
        <v>97</v>
      </c>
      <c r="X6" s="37" t="s">
        <v>89</v>
      </c>
      <c r="Y6" s="37" t="s">
        <v>97</v>
      </c>
      <c r="Z6" s="37" t="s">
        <v>89</v>
      </c>
      <c r="AA6" s="37" t="s">
        <v>96</v>
      </c>
      <c r="AB6" s="37" t="s">
        <v>97</v>
      </c>
      <c r="AC6" s="37" t="s">
        <v>91</v>
      </c>
      <c r="AD6" s="37" t="s">
        <v>169</v>
      </c>
      <c r="AE6" s="37" t="s">
        <v>91</v>
      </c>
      <c r="AF6" s="37" t="s">
        <v>91</v>
      </c>
      <c r="AG6" s="37" t="s">
        <v>162</v>
      </c>
      <c r="AH6" s="39" t="s">
        <v>170</v>
      </c>
      <c r="AI6" s="37" t="s">
        <v>171</v>
      </c>
      <c r="AJ6" s="39" t="s">
        <v>172</v>
      </c>
      <c r="AK6" s="37" t="s">
        <v>103</v>
      </c>
      <c r="AL6" s="37" t="s">
        <v>173</v>
      </c>
      <c r="AM6" s="37">
        <v>10</v>
      </c>
      <c r="AN6" s="37">
        <v>1</v>
      </c>
      <c r="AO6" s="37">
        <v>8</v>
      </c>
      <c r="AP6" s="37">
        <v>0</v>
      </c>
      <c r="AQ6" s="37">
        <v>18</v>
      </c>
      <c r="AR6" s="37">
        <v>1.1499999999999999</v>
      </c>
      <c r="AS6" s="37" t="s">
        <v>105</v>
      </c>
      <c r="AT6" s="37">
        <v>1</v>
      </c>
      <c r="AU6" s="37">
        <v>0</v>
      </c>
      <c r="AV6" s="37">
        <v>0.12</v>
      </c>
      <c r="AW6" s="37" t="s">
        <v>174</v>
      </c>
      <c r="AX6" s="37" t="s">
        <v>89</v>
      </c>
      <c r="AY6" s="37" t="s">
        <v>107</v>
      </c>
      <c r="AZ6" s="37" t="s">
        <v>108</v>
      </c>
      <c r="BA6" s="37" t="s">
        <v>8</v>
      </c>
      <c r="BB6" s="37" t="s">
        <v>658</v>
      </c>
      <c r="BC6" s="40" t="s">
        <v>660</v>
      </c>
    </row>
    <row r="7" spans="1:55" ht="62.1" hidden="1" customHeight="1">
      <c r="A7" s="36" t="s">
        <v>175</v>
      </c>
      <c r="B7" s="37" t="s">
        <v>176</v>
      </c>
      <c r="C7" s="37" t="s">
        <v>177</v>
      </c>
      <c r="D7" s="37" t="s">
        <v>80</v>
      </c>
      <c r="E7" s="37" t="s">
        <v>178</v>
      </c>
      <c r="F7" s="37" t="s">
        <v>179</v>
      </c>
      <c r="G7" s="37" t="s">
        <v>180</v>
      </c>
      <c r="H7" s="37" t="s">
        <v>83</v>
      </c>
      <c r="I7" s="37" t="s">
        <v>84</v>
      </c>
      <c r="J7" s="37" t="s">
        <v>85</v>
      </c>
      <c r="K7" s="37" t="s">
        <v>181</v>
      </c>
      <c r="L7" s="39" t="s">
        <v>87</v>
      </c>
      <c r="M7" s="37" t="s">
        <v>88</v>
      </c>
      <c r="N7" s="37" t="s">
        <v>89</v>
      </c>
      <c r="O7" s="37" t="s">
        <v>90</v>
      </c>
      <c r="P7" s="37" t="s">
        <v>182</v>
      </c>
      <c r="Q7" s="37" t="s">
        <v>183</v>
      </c>
      <c r="R7" s="37" t="s">
        <v>184</v>
      </c>
      <c r="S7" s="37" t="s">
        <v>185</v>
      </c>
      <c r="T7" s="37" t="s">
        <v>185</v>
      </c>
      <c r="U7" s="37" t="s">
        <v>185</v>
      </c>
      <c r="V7" s="37" t="s">
        <v>89</v>
      </c>
      <c r="W7" s="37" t="s">
        <v>97</v>
      </c>
      <c r="X7" s="37" t="s">
        <v>97</v>
      </c>
      <c r="Y7" s="37" t="s">
        <v>97</v>
      </c>
      <c r="Z7" s="37" t="s">
        <v>89</v>
      </c>
      <c r="AA7" s="37" t="s">
        <v>96</v>
      </c>
      <c r="AB7" s="37" t="s">
        <v>97</v>
      </c>
      <c r="AC7" s="37" t="s">
        <v>91</v>
      </c>
      <c r="AD7" s="37" t="s">
        <v>169</v>
      </c>
      <c r="AE7" s="37" t="s">
        <v>91</v>
      </c>
      <c r="AF7" s="37" t="s">
        <v>91</v>
      </c>
      <c r="AG7" s="37" t="s">
        <v>180</v>
      </c>
      <c r="AH7" s="37" t="s">
        <v>91</v>
      </c>
      <c r="AI7" s="37" t="s">
        <v>142</v>
      </c>
      <c r="AJ7" s="37" t="s">
        <v>186</v>
      </c>
      <c r="AK7" s="37" t="s">
        <v>187</v>
      </c>
      <c r="AL7" s="37" t="s">
        <v>188</v>
      </c>
      <c r="AM7" s="37">
        <v>2</v>
      </c>
      <c r="AN7" s="37">
        <v>12</v>
      </c>
      <c r="AO7" s="37">
        <v>1.3</v>
      </c>
      <c r="AP7" s="37">
        <v>0</v>
      </c>
      <c r="AQ7" s="37">
        <v>50</v>
      </c>
      <c r="AR7" s="37">
        <v>1.1499999999999999</v>
      </c>
      <c r="AS7" s="37" t="s">
        <v>105</v>
      </c>
      <c r="AT7" s="37">
        <v>0</v>
      </c>
      <c r="AU7" s="37">
        <v>0</v>
      </c>
      <c r="AV7" s="37">
        <v>0</v>
      </c>
      <c r="AW7" s="37" t="s">
        <v>106</v>
      </c>
      <c r="AX7" s="37" t="s">
        <v>89</v>
      </c>
      <c r="AY7" s="37" t="s">
        <v>107</v>
      </c>
      <c r="AZ7" s="37" t="s">
        <v>189</v>
      </c>
      <c r="BA7" s="37" t="s">
        <v>190</v>
      </c>
      <c r="BB7" s="37" t="s">
        <v>109</v>
      </c>
      <c r="BC7" s="38"/>
    </row>
    <row r="8" spans="1:55" ht="62.1" hidden="1" customHeight="1">
      <c r="A8" s="36" t="s">
        <v>191</v>
      </c>
      <c r="B8" s="37" t="s">
        <v>192</v>
      </c>
      <c r="C8" s="37" t="s">
        <v>193</v>
      </c>
      <c r="D8" s="37" t="s">
        <v>80</v>
      </c>
      <c r="E8" s="37" t="s">
        <v>178</v>
      </c>
      <c r="F8" s="37" t="s">
        <v>194</v>
      </c>
      <c r="G8" s="37" t="s">
        <v>122</v>
      </c>
      <c r="H8" s="37" t="s">
        <v>195</v>
      </c>
      <c r="I8" s="37" t="s">
        <v>84</v>
      </c>
      <c r="J8" s="37" t="s">
        <v>196</v>
      </c>
      <c r="K8" s="37" t="s">
        <v>116</v>
      </c>
      <c r="L8" s="37" t="s">
        <v>91</v>
      </c>
      <c r="M8" s="37" t="s">
        <v>196</v>
      </c>
      <c r="N8" s="37" t="s">
        <v>97</v>
      </c>
      <c r="O8" s="37" t="s">
        <v>91</v>
      </c>
      <c r="P8" s="37" t="s">
        <v>197</v>
      </c>
      <c r="Q8" s="37" t="s">
        <v>198</v>
      </c>
      <c r="R8" s="37" t="s">
        <v>199</v>
      </c>
      <c r="S8" s="37" t="s">
        <v>185</v>
      </c>
      <c r="T8" s="37" t="s">
        <v>185</v>
      </c>
      <c r="U8" s="37" t="s">
        <v>185</v>
      </c>
      <c r="V8" s="37" t="s">
        <v>89</v>
      </c>
      <c r="W8" s="37" t="s">
        <v>97</v>
      </c>
      <c r="X8" s="37" t="s">
        <v>97</v>
      </c>
      <c r="Y8" s="37" t="s">
        <v>97</v>
      </c>
      <c r="Z8" s="37" t="s">
        <v>89</v>
      </c>
      <c r="AA8" s="37" t="s">
        <v>96</v>
      </c>
      <c r="AB8" s="37" t="s">
        <v>97</v>
      </c>
      <c r="AC8" s="37" t="s">
        <v>91</v>
      </c>
      <c r="AD8" s="37" t="s">
        <v>169</v>
      </c>
      <c r="AE8" s="37" t="s">
        <v>91</v>
      </c>
      <c r="AF8" s="37" t="s">
        <v>91</v>
      </c>
      <c r="AG8" s="37" t="s">
        <v>122</v>
      </c>
      <c r="AH8" s="37" t="s">
        <v>91</v>
      </c>
      <c r="AI8" s="37" t="s">
        <v>158</v>
      </c>
      <c r="AJ8" s="37" t="s">
        <v>200</v>
      </c>
      <c r="AK8" s="37" t="s">
        <v>187</v>
      </c>
      <c r="AL8" s="37" t="s">
        <v>201</v>
      </c>
      <c r="AM8" s="37">
        <v>5</v>
      </c>
      <c r="AN8" s="37">
        <v>8</v>
      </c>
      <c r="AO8" s="37">
        <v>3.2</v>
      </c>
      <c r="AP8" s="37">
        <v>0</v>
      </c>
      <c r="AQ8" s="37">
        <v>28</v>
      </c>
      <c r="AR8" s="37">
        <v>1.25</v>
      </c>
      <c r="AS8" s="37" t="s">
        <v>202</v>
      </c>
      <c r="AT8" s="37">
        <v>0.1</v>
      </c>
      <c r="AU8" s="37">
        <v>0</v>
      </c>
      <c r="AV8" s="37">
        <v>0</v>
      </c>
      <c r="AW8" s="37" t="s">
        <v>106</v>
      </c>
      <c r="AX8" s="37" t="s">
        <v>89</v>
      </c>
      <c r="AY8" s="37" t="s">
        <v>107</v>
      </c>
      <c r="AZ8" s="37" t="s">
        <v>189</v>
      </c>
      <c r="BA8" s="37" t="s">
        <v>203</v>
      </c>
      <c r="BB8" s="37" t="s">
        <v>109</v>
      </c>
      <c r="BC8" s="38"/>
    </row>
    <row r="9" spans="1:55" ht="62.1" customHeight="1">
      <c r="A9" s="36" t="s">
        <v>204</v>
      </c>
      <c r="B9" s="37" t="s">
        <v>205</v>
      </c>
      <c r="C9" s="37" t="s">
        <v>206</v>
      </c>
      <c r="D9" s="37" t="s">
        <v>80</v>
      </c>
      <c r="E9" s="37" t="s">
        <v>207</v>
      </c>
      <c r="F9" s="37" t="s">
        <v>208</v>
      </c>
      <c r="G9" s="37" t="s">
        <v>209</v>
      </c>
      <c r="H9" s="37" t="s">
        <v>195</v>
      </c>
      <c r="I9" s="37" t="s">
        <v>164</v>
      </c>
      <c r="J9" s="37" t="s">
        <v>210</v>
      </c>
      <c r="K9" s="37" t="s">
        <v>210</v>
      </c>
      <c r="L9" s="37" t="s">
        <v>91</v>
      </c>
      <c r="M9" s="37" t="s">
        <v>210</v>
      </c>
      <c r="N9" s="37" t="s">
        <v>89</v>
      </c>
      <c r="O9" s="37" t="s">
        <v>211</v>
      </c>
      <c r="P9" s="37" t="s">
        <v>212</v>
      </c>
      <c r="Q9" s="37" t="s">
        <v>213</v>
      </c>
      <c r="R9" s="37" t="s">
        <v>214</v>
      </c>
      <c r="S9" s="37" t="s">
        <v>168</v>
      </c>
      <c r="T9" s="37" t="s">
        <v>156</v>
      </c>
      <c r="U9" s="37" t="s">
        <v>168</v>
      </c>
      <c r="V9" s="37" t="s">
        <v>89</v>
      </c>
      <c r="W9" s="37" t="s">
        <v>97</v>
      </c>
      <c r="X9" s="37" t="s">
        <v>89</v>
      </c>
      <c r="Y9" s="37" t="s">
        <v>97</v>
      </c>
      <c r="Z9" s="37" t="s">
        <v>89</v>
      </c>
      <c r="AA9" s="37" t="s">
        <v>96</v>
      </c>
      <c r="AB9" s="37" t="s">
        <v>97</v>
      </c>
      <c r="AC9" s="37" t="s">
        <v>91</v>
      </c>
      <c r="AD9" s="37" t="s">
        <v>169</v>
      </c>
      <c r="AE9" s="37" t="s">
        <v>91</v>
      </c>
      <c r="AF9" s="37" t="s">
        <v>91</v>
      </c>
      <c r="AG9" s="37" t="s">
        <v>209</v>
      </c>
      <c r="AH9" s="37" t="s">
        <v>215</v>
      </c>
      <c r="AI9" s="37" t="s">
        <v>171</v>
      </c>
      <c r="AJ9" s="37" t="s">
        <v>216</v>
      </c>
      <c r="AK9" s="37" t="s">
        <v>103</v>
      </c>
      <c r="AL9" s="37" t="s">
        <v>217</v>
      </c>
      <c r="AM9" s="37">
        <v>8</v>
      </c>
      <c r="AN9" s="37">
        <v>2</v>
      </c>
      <c r="AO9" s="37">
        <v>6</v>
      </c>
      <c r="AP9" s="37">
        <v>0</v>
      </c>
      <c r="AQ9" s="37">
        <v>20</v>
      </c>
      <c r="AR9" s="37">
        <v>1.05</v>
      </c>
      <c r="AS9" s="37" t="s">
        <v>105</v>
      </c>
      <c r="AT9" s="37">
        <v>1</v>
      </c>
      <c r="AU9" s="37">
        <v>0</v>
      </c>
      <c r="AV9" s="37">
        <v>0</v>
      </c>
      <c r="AW9" s="37" t="s">
        <v>106</v>
      </c>
      <c r="AX9" s="37" t="s">
        <v>89</v>
      </c>
      <c r="AY9" s="37" t="s">
        <v>107</v>
      </c>
      <c r="AZ9" s="37" t="s">
        <v>108</v>
      </c>
      <c r="BA9" s="37" t="s">
        <v>8</v>
      </c>
      <c r="BB9" s="37" t="s">
        <v>658</v>
      </c>
      <c r="BC9" s="38" t="s">
        <v>659</v>
      </c>
    </row>
    <row r="10" spans="1:55" ht="62.1" customHeight="1">
      <c r="A10" s="36" t="s">
        <v>218</v>
      </c>
      <c r="B10" s="37" t="s">
        <v>12</v>
      </c>
      <c r="C10" s="37" t="s">
        <v>219</v>
      </c>
      <c r="D10" s="37" t="s">
        <v>80</v>
      </c>
      <c r="E10" s="37" t="s">
        <v>207</v>
      </c>
      <c r="F10" s="37" t="s">
        <v>220</v>
      </c>
      <c r="G10" s="37" t="s">
        <v>207</v>
      </c>
      <c r="H10" s="37" t="s">
        <v>221</v>
      </c>
      <c r="I10" s="37" t="s">
        <v>164</v>
      </c>
      <c r="J10" s="37" t="s">
        <v>222</v>
      </c>
      <c r="K10" s="37" t="s">
        <v>210</v>
      </c>
      <c r="L10" s="37" t="s">
        <v>91</v>
      </c>
      <c r="M10" s="37" t="s">
        <v>222</v>
      </c>
      <c r="N10" s="37" t="s">
        <v>89</v>
      </c>
      <c r="O10" s="37" t="s">
        <v>223</v>
      </c>
      <c r="P10" s="37" t="s">
        <v>91</v>
      </c>
      <c r="Q10" s="37" t="s">
        <v>224</v>
      </c>
      <c r="R10" s="37" t="s">
        <v>225</v>
      </c>
      <c r="S10" s="37" t="s">
        <v>91</v>
      </c>
      <c r="T10" s="37" t="s">
        <v>91</v>
      </c>
      <c r="U10" s="39" t="s">
        <v>661</v>
      </c>
      <c r="V10" s="37" t="s">
        <v>97</v>
      </c>
      <c r="W10" s="37" t="s">
        <v>97</v>
      </c>
      <c r="X10" s="39" t="s">
        <v>89</v>
      </c>
      <c r="Y10" s="37" t="s">
        <v>97</v>
      </c>
      <c r="Z10" s="37" t="s">
        <v>89</v>
      </c>
      <c r="AA10" s="37" t="s">
        <v>89</v>
      </c>
      <c r="AB10" s="37" t="s">
        <v>96</v>
      </c>
      <c r="AC10" s="37" t="s">
        <v>91</v>
      </c>
      <c r="AD10" s="37" t="s">
        <v>169</v>
      </c>
      <c r="AE10" s="37" t="s">
        <v>91</v>
      </c>
      <c r="AF10" s="37" t="s">
        <v>91</v>
      </c>
      <c r="AG10" s="37" t="s">
        <v>91</v>
      </c>
      <c r="AH10" s="37" t="s">
        <v>91</v>
      </c>
      <c r="AI10" s="37" t="s">
        <v>171</v>
      </c>
      <c r="AJ10" s="37" t="s">
        <v>226</v>
      </c>
      <c r="AK10" s="37" t="s">
        <v>91</v>
      </c>
      <c r="AL10" s="37" t="s">
        <v>227</v>
      </c>
      <c r="AM10" s="37">
        <v>6</v>
      </c>
      <c r="AN10" s="37">
        <v>1</v>
      </c>
      <c r="AO10" s="37">
        <v>10</v>
      </c>
      <c r="AP10" s="37">
        <v>0</v>
      </c>
      <c r="AQ10" s="37">
        <v>12</v>
      </c>
      <c r="AR10" s="37">
        <v>2.2000000000000002</v>
      </c>
      <c r="AS10" s="37" t="s">
        <v>202</v>
      </c>
      <c r="AT10" s="37">
        <v>0.9</v>
      </c>
      <c r="AU10" s="37">
        <v>0</v>
      </c>
      <c r="AV10" s="37">
        <v>0</v>
      </c>
      <c r="AW10" s="37" t="s">
        <v>228</v>
      </c>
      <c r="AX10" s="37" t="s">
        <v>89</v>
      </c>
      <c r="AY10" s="37" t="s">
        <v>107</v>
      </c>
      <c r="AZ10" s="37" t="s">
        <v>108</v>
      </c>
      <c r="BA10" s="37" t="s">
        <v>8</v>
      </c>
      <c r="BB10" s="37" t="s">
        <v>658</v>
      </c>
      <c r="BC10" s="40" t="s">
        <v>662</v>
      </c>
    </row>
    <row r="11" spans="1:55" ht="62.1" hidden="1" customHeight="1">
      <c r="A11" s="36" t="s">
        <v>229</v>
      </c>
      <c r="B11" s="37" t="s">
        <v>230</v>
      </c>
      <c r="C11" s="37" t="s">
        <v>231</v>
      </c>
      <c r="D11" s="37" t="s">
        <v>80</v>
      </c>
      <c r="E11" s="37" t="s">
        <v>178</v>
      </c>
      <c r="F11" s="37" t="s">
        <v>232</v>
      </c>
      <c r="G11" s="37" t="s">
        <v>233</v>
      </c>
      <c r="H11" s="37" t="s">
        <v>195</v>
      </c>
      <c r="I11" s="37" t="s">
        <v>132</v>
      </c>
      <c r="J11" s="37" t="s">
        <v>234</v>
      </c>
      <c r="K11" s="37" t="s">
        <v>235</v>
      </c>
      <c r="L11" s="37" t="s">
        <v>91</v>
      </c>
      <c r="M11" s="37" t="s">
        <v>234</v>
      </c>
      <c r="N11" s="37" t="s">
        <v>89</v>
      </c>
      <c r="O11" s="37" t="s">
        <v>118</v>
      </c>
      <c r="P11" s="37" t="s">
        <v>236</v>
      </c>
      <c r="Q11" s="37" t="s">
        <v>237</v>
      </c>
      <c r="R11" s="37" t="s">
        <v>238</v>
      </c>
      <c r="S11" s="37" t="s">
        <v>185</v>
      </c>
      <c r="T11" s="37" t="s">
        <v>185</v>
      </c>
      <c r="U11" s="37" t="s">
        <v>185</v>
      </c>
      <c r="V11" s="37" t="s">
        <v>89</v>
      </c>
      <c r="W11" s="37" t="s">
        <v>97</v>
      </c>
      <c r="X11" s="37" t="s">
        <v>97</v>
      </c>
      <c r="Y11" s="37" t="s">
        <v>97</v>
      </c>
      <c r="Z11" s="37" t="s">
        <v>97</v>
      </c>
      <c r="AA11" s="37" t="s">
        <v>96</v>
      </c>
      <c r="AB11" s="37" t="s">
        <v>97</v>
      </c>
      <c r="AC11" s="37" t="s">
        <v>91</v>
      </c>
      <c r="AD11" s="37" t="s">
        <v>169</v>
      </c>
      <c r="AE11" s="37" t="s">
        <v>91</v>
      </c>
      <c r="AF11" s="37" t="s">
        <v>91</v>
      </c>
      <c r="AG11" s="37" t="s">
        <v>233</v>
      </c>
      <c r="AH11" s="37" t="s">
        <v>239</v>
      </c>
      <c r="AI11" s="37" t="s">
        <v>142</v>
      </c>
      <c r="AJ11" s="37" t="s">
        <v>240</v>
      </c>
      <c r="AK11" s="37" t="s">
        <v>187</v>
      </c>
      <c r="AL11" s="37" t="s">
        <v>241</v>
      </c>
      <c r="AM11" s="37">
        <v>8</v>
      </c>
      <c r="AN11" s="37">
        <v>2</v>
      </c>
      <c r="AO11" s="37">
        <v>7</v>
      </c>
      <c r="AP11" s="37">
        <v>0</v>
      </c>
      <c r="AQ11" s="37">
        <v>6</v>
      </c>
      <c r="AR11" s="37">
        <v>1.7</v>
      </c>
      <c r="AS11" s="37" t="s">
        <v>202</v>
      </c>
      <c r="AT11" s="37">
        <v>0.85</v>
      </c>
      <c r="AU11" s="37">
        <v>0</v>
      </c>
      <c r="AV11" s="37">
        <v>0.1</v>
      </c>
      <c r="AW11" s="37" t="s">
        <v>106</v>
      </c>
      <c r="AX11" s="37" t="s">
        <v>89</v>
      </c>
      <c r="AY11" s="37" t="s">
        <v>107</v>
      </c>
      <c r="AZ11" s="37" t="s">
        <v>108</v>
      </c>
      <c r="BA11" s="37" t="s">
        <v>203</v>
      </c>
      <c r="BB11" s="37" t="s">
        <v>109</v>
      </c>
      <c r="BC11" s="38"/>
    </row>
    <row r="12" spans="1:55" ht="62.1" hidden="1" customHeight="1">
      <c r="A12" s="36" t="s">
        <v>242</v>
      </c>
      <c r="B12" s="37" t="s">
        <v>243</v>
      </c>
      <c r="C12" s="37" t="s">
        <v>244</v>
      </c>
      <c r="D12" s="37" t="s">
        <v>80</v>
      </c>
      <c r="E12" s="37" t="s">
        <v>178</v>
      </c>
      <c r="F12" s="37" t="s">
        <v>245</v>
      </c>
      <c r="G12" s="37" t="s">
        <v>178</v>
      </c>
      <c r="H12" s="37" t="s">
        <v>114</v>
      </c>
      <c r="I12" s="37" t="s">
        <v>84</v>
      </c>
      <c r="J12" s="37" t="s">
        <v>85</v>
      </c>
      <c r="K12" s="37" t="s">
        <v>246</v>
      </c>
      <c r="L12" s="37" t="s">
        <v>247</v>
      </c>
      <c r="M12" s="37" t="s">
        <v>88</v>
      </c>
      <c r="N12" s="37" t="s">
        <v>89</v>
      </c>
      <c r="O12" s="37" t="s">
        <v>248</v>
      </c>
      <c r="P12" s="37" t="s">
        <v>249</v>
      </c>
      <c r="Q12" s="37" t="s">
        <v>250</v>
      </c>
      <c r="R12" s="37" t="s">
        <v>251</v>
      </c>
      <c r="S12" s="37" t="s">
        <v>91</v>
      </c>
      <c r="T12" s="37" t="s">
        <v>91</v>
      </c>
      <c r="U12" s="37" t="s">
        <v>252</v>
      </c>
      <c r="V12" s="37" t="s">
        <v>97</v>
      </c>
      <c r="W12" s="37" t="s">
        <v>97</v>
      </c>
      <c r="X12" s="37" t="s">
        <v>96</v>
      </c>
      <c r="Y12" s="37" t="s">
        <v>97</v>
      </c>
      <c r="Z12" s="37" t="s">
        <v>97</v>
      </c>
      <c r="AA12" s="37" t="s">
        <v>96</v>
      </c>
      <c r="AB12" s="37" t="s">
        <v>96</v>
      </c>
      <c r="AC12" s="37" t="s">
        <v>91</v>
      </c>
      <c r="AD12" s="37" t="s">
        <v>169</v>
      </c>
      <c r="AE12" s="37" t="s">
        <v>91</v>
      </c>
      <c r="AF12" s="37" t="s">
        <v>91</v>
      </c>
      <c r="AG12" s="37" t="s">
        <v>91</v>
      </c>
      <c r="AH12" s="37" t="s">
        <v>91</v>
      </c>
      <c r="AI12" s="37" t="s">
        <v>253</v>
      </c>
      <c r="AJ12" s="37" t="s">
        <v>254</v>
      </c>
      <c r="AK12" s="37" t="s">
        <v>91</v>
      </c>
      <c r="AL12" s="37" t="s">
        <v>255</v>
      </c>
      <c r="AM12" s="37">
        <v>1</v>
      </c>
      <c r="AN12" s="37">
        <v>18</v>
      </c>
      <c r="AO12" s="37">
        <v>0.7</v>
      </c>
      <c r="AP12" s="37">
        <v>0</v>
      </c>
      <c r="AQ12" s="37">
        <v>40</v>
      </c>
      <c r="AR12" s="37">
        <v>0.46</v>
      </c>
      <c r="AS12" s="37" t="s">
        <v>127</v>
      </c>
      <c r="AT12" s="37">
        <v>0.2</v>
      </c>
      <c r="AU12" s="37">
        <v>0</v>
      </c>
      <c r="AV12" s="37">
        <v>0</v>
      </c>
      <c r="AW12" s="37" t="s">
        <v>106</v>
      </c>
      <c r="AX12" s="37" t="s">
        <v>89</v>
      </c>
      <c r="AY12" s="37" t="s">
        <v>107</v>
      </c>
      <c r="AZ12" s="37" t="s">
        <v>189</v>
      </c>
      <c r="BA12" s="37" t="s">
        <v>190</v>
      </c>
      <c r="BB12" s="37" t="s">
        <v>109</v>
      </c>
      <c r="BC12" s="38"/>
    </row>
    <row r="13" spans="1:55" ht="62.1" hidden="1" customHeight="1">
      <c r="A13" s="36" t="s">
        <v>256</v>
      </c>
      <c r="B13" s="37" t="s">
        <v>257</v>
      </c>
      <c r="C13" s="37" t="s">
        <v>258</v>
      </c>
      <c r="D13" s="37" t="s">
        <v>80</v>
      </c>
      <c r="E13" s="37" t="s">
        <v>178</v>
      </c>
      <c r="F13" s="37" t="s">
        <v>259</v>
      </c>
      <c r="G13" s="37" t="s">
        <v>178</v>
      </c>
      <c r="H13" s="37" t="s">
        <v>114</v>
      </c>
      <c r="I13" s="37" t="s">
        <v>84</v>
      </c>
      <c r="J13" s="37" t="s">
        <v>260</v>
      </c>
      <c r="K13" s="37" t="s">
        <v>261</v>
      </c>
      <c r="L13" s="37" t="s">
        <v>262</v>
      </c>
      <c r="M13" s="37" t="s">
        <v>263</v>
      </c>
      <c r="N13" s="37" t="s">
        <v>89</v>
      </c>
      <c r="O13" s="37" t="s">
        <v>118</v>
      </c>
      <c r="P13" s="37" t="s">
        <v>264</v>
      </c>
      <c r="Q13" s="37" t="s">
        <v>265</v>
      </c>
      <c r="R13" s="37" t="s">
        <v>266</v>
      </c>
      <c r="S13" s="37" t="s">
        <v>91</v>
      </c>
      <c r="T13" s="37" t="s">
        <v>91</v>
      </c>
      <c r="U13" s="37" t="s">
        <v>252</v>
      </c>
      <c r="V13" s="37" t="s">
        <v>97</v>
      </c>
      <c r="W13" s="37" t="s">
        <v>97</v>
      </c>
      <c r="X13" s="37" t="s">
        <v>96</v>
      </c>
      <c r="Y13" s="37" t="s">
        <v>97</v>
      </c>
      <c r="Z13" s="37" t="s">
        <v>97</v>
      </c>
      <c r="AA13" s="37" t="s">
        <v>96</v>
      </c>
      <c r="AB13" s="37" t="s">
        <v>96</v>
      </c>
      <c r="AC13" s="37" t="s">
        <v>91</v>
      </c>
      <c r="AD13" s="37" t="s">
        <v>169</v>
      </c>
      <c r="AE13" s="37" t="s">
        <v>91</v>
      </c>
      <c r="AF13" s="37" t="s">
        <v>91</v>
      </c>
      <c r="AG13" s="37" t="s">
        <v>91</v>
      </c>
      <c r="AH13" s="37" t="s">
        <v>91</v>
      </c>
      <c r="AI13" s="37" t="s">
        <v>158</v>
      </c>
      <c r="AJ13" s="37" t="s">
        <v>267</v>
      </c>
      <c r="AK13" s="37" t="s">
        <v>91</v>
      </c>
      <c r="AL13" s="37" t="s">
        <v>268</v>
      </c>
      <c r="AM13" s="37">
        <v>1</v>
      </c>
      <c r="AN13" s="37">
        <v>22</v>
      </c>
      <c r="AO13" s="37">
        <v>0.55000000000000004</v>
      </c>
      <c r="AP13" s="37">
        <v>0</v>
      </c>
      <c r="AQ13" s="37">
        <v>32</v>
      </c>
      <c r="AR13" s="37">
        <v>0.42</v>
      </c>
      <c r="AS13" s="37" t="s">
        <v>127</v>
      </c>
      <c r="AT13" s="37">
        <v>0.05</v>
      </c>
      <c r="AU13" s="37">
        <v>0</v>
      </c>
      <c r="AV13" s="37">
        <v>0</v>
      </c>
      <c r="AW13" s="37" t="s">
        <v>106</v>
      </c>
      <c r="AX13" s="37" t="s">
        <v>89</v>
      </c>
      <c r="AY13" s="37" t="s">
        <v>107</v>
      </c>
      <c r="AZ13" s="37" t="s">
        <v>189</v>
      </c>
      <c r="BA13" s="37" t="s">
        <v>190</v>
      </c>
      <c r="BB13" s="37" t="s">
        <v>109</v>
      </c>
      <c r="BC13" s="38"/>
    </row>
    <row r="14" spans="1:55" ht="62.1" hidden="1" customHeight="1">
      <c r="A14" s="36" t="s">
        <v>269</v>
      </c>
      <c r="B14" s="37" t="s">
        <v>270</v>
      </c>
      <c r="C14" s="37" t="s">
        <v>271</v>
      </c>
      <c r="D14" s="37" t="s">
        <v>80</v>
      </c>
      <c r="E14" s="37" t="s">
        <v>178</v>
      </c>
      <c r="F14" s="37" t="s">
        <v>272</v>
      </c>
      <c r="G14" s="37" t="s">
        <v>178</v>
      </c>
      <c r="H14" s="37" t="s">
        <v>114</v>
      </c>
      <c r="I14" s="37" t="s">
        <v>132</v>
      </c>
      <c r="J14" s="39" t="s">
        <v>647</v>
      </c>
      <c r="K14" s="37" t="s">
        <v>274</v>
      </c>
      <c r="L14" s="37" t="s">
        <v>275</v>
      </c>
      <c r="M14" s="37" t="s">
        <v>276</v>
      </c>
      <c r="N14" s="37" t="s">
        <v>89</v>
      </c>
      <c r="O14" s="37" t="s">
        <v>118</v>
      </c>
      <c r="P14" s="37" t="s">
        <v>151</v>
      </c>
      <c r="Q14" s="37" t="s">
        <v>277</v>
      </c>
      <c r="R14" s="37" t="s">
        <v>278</v>
      </c>
      <c r="S14" s="37" t="s">
        <v>91</v>
      </c>
      <c r="T14" s="37" t="s">
        <v>91</v>
      </c>
      <c r="U14" s="37" t="s">
        <v>252</v>
      </c>
      <c r="V14" s="37" t="s">
        <v>97</v>
      </c>
      <c r="W14" s="37" t="s">
        <v>97</v>
      </c>
      <c r="X14" s="37" t="s">
        <v>96</v>
      </c>
      <c r="Y14" s="37" t="s">
        <v>97</v>
      </c>
      <c r="Z14" s="37" t="s">
        <v>97</v>
      </c>
      <c r="AA14" s="37" t="s">
        <v>96</v>
      </c>
      <c r="AB14" s="37" t="s">
        <v>96</v>
      </c>
      <c r="AC14" s="37" t="s">
        <v>91</v>
      </c>
      <c r="AD14" s="37" t="s">
        <v>169</v>
      </c>
      <c r="AE14" s="37" t="s">
        <v>91</v>
      </c>
      <c r="AF14" s="37" t="s">
        <v>91</v>
      </c>
      <c r="AG14" s="37" t="s">
        <v>91</v>
      </c>
      <c r="AH14" s="37" t="s">
        <v>91</v>
      </c>
      <c r="AI14" s="37" t="s">
        <v>158</v>
      </c>
      <c r="AJ14" s="37" t="s">
        <v>279</v>
      </c>
      <c r="AK14" s="37" t="s">
        <v>91</v>
      </c>
      <c r="AL14" s="37" t="s">
        <v>280</v>
      </c>
      <c r="AM14" s="37">
        <v>1</v>
      </c>
      <c r="AN14" s="37">
        <v>14</v>
      </c>
      <c r="AO14" s="37">
        <v>0.8</v>
      </c>
      <c r="AP14" s="37">
        <v>0</v>
      </c>
      <c r="AQ14" s="37">
        <v>28</v>
      </c>
      <c r="AR14" s="37">
        <v>0.5</v>
      </c>
      <c r="AS14" s="37" t="s">
        <v>127</v>
      </c>
      <c r="AT14" s="37">
        <v>0.35</v>
      </c>
      <c r="AU14" s="37">
        <v>0</v>
      </c>
      <c r="AV14" s="37">
        <v>0</v>
      </c>
      <c r="AW14" s="37" t="s">
        <v>106</v>
      </c>
      <c r="AX14" s="37" t="s">
        <v>89</v>
      </c>
      <c r="AY14" s="37" t="s">
        <v>107</v>
      </c>
      <c r="AZ14" s="37" t="s">
        <v>108</v>
      </c>
      <c r="BA14" s="37" t="s">
        <v>203</v>
      </c>
      <c r="BB14" s="37" t="s">
        <v>109</v>
      </c>
      <c r="BC14" s="38"/>
    </row>
    <row r="15" spans="1:55" ht="62.1" hidden="1" customHeight="1">
      <c r="A15" s="36" t="s">
        <v>281</v>
      </c>
      <c r="B15" s="37" t="s">
        <v>282</v>
      </c>
      <c r="C15" s="37" t="s">
        <v>283</v>
      </c>
      <c r="D15" s="37" t="s">
        <v>80</v>
      </c>
      <c r="E15" s="37" t="s">
        <v>207</v>
      </c>
      <c r="F15" s="37" t="s">
        <v>284</v>
      </c>
      <c r="G15" s="37" t="s">
        <v>207</v>
      </c>
      <c r="H15" s="37" t="s">
        <v>114</v>
      </c>
      <c r="I15" s="37" t="s">
        <v>84</v>
      </c>
      <c r="J15" s="39" t="s">
        <v>222</v>
      </c>
      <c r="K15" s="37" t="s">
        <v>285</v>
      </c>
      <c r="L15" s="37" t="s">
        <v>286</v>
      </c>
      <c r="M15" s="37" t="s">
        <v>287</v>
      </c>
      <c r="N15" s="37" t="s">
        <v>89</v>
      </c>
      <c r="O15" s="37" t="s">
        <v>211</v>
      </c>
      <c r="P15" s="37" t="s">
        <v>288</v>
      </c>
      <c r="Q15" s="37" t="s">
        <v>289</v>
      </c>
      <c r="R15" s="37" t="s">
        <v>290</v>
      </c>
      <c r="S15" s="37" t="s">
        <v>91</v>
      </c>
      <c r="T15" s="37" t="s">
        <v>91</v>
      </c>
      <c r="U15" s="37" t="s">
        <v>252</v>
      </c>
      <c r="V15" s="37" t="s">
        <v>97</v>
      </c>
      <c r="W15" s="37" t="s">
        <v>97</v>
      </c>
      <c r="X15" s="37" t="s">
        <v>96</v>
      </c>
      <c r="Y15" s="37" t="s">
        <v>97</v>
      </c>
      <c r="Z15" s="37" t="s">
        <v>97</v>
      </c>
      <c r="AA15" s="37" t="s">
        <v>96</v>
      </c>
      <c r="AB15" s="37" t="s">
        <v>96</v>
      </c>
      <c r="AC15" s="37" t="s">
        <v>91</v>
      </c>
      <c r="AD15" s="37" t="s">
        <v>169</v>
      </c>
      <c r="AE15" s="37" t="s">
        <v>91</v>
      </c>
      <c r="AF15" s="37" t="s">
        <v>91</v>
      </c>
      <c r="AG15" s="37" t="s">
        <v>91</v>
      </c>
      <c r="AH15" s="37" t="s">
        <v>91</v>
      </c>
      <c r="AI15" s="37" t="s">
        <v>253</v>
      </c>
      <c r="AJ15" s="37" t="s">
        <v>291</v>
      </c>
      <c r="AK15" s="37" t="s">
        <v>91</v>
      </c>
      <c r="AL15" s="37" t="s">
        <v>292</v>
      </c>
      <c r="AM15" s="37">
        <v>1</v>
      </c>
      <c r="AN15" s="37">
        <v>16</v>
      </c>
      <c r="AO15" s="37">
        <v>0.75</v>
      </c>
      <c r="AP15" s="37">
        <v>0</v>
      </c>
      <c r="AQ15" s="37">
        <v>36</v>
      </c>
      <c r="AR15" s="37">
        <v>0.72</v>
      </c>
      <c r="AS15" s="37" t="s">
        <v>127</v>
      </c>
      <c r="AT15" s="37">
        <v>0.45</v>
      </c>
      <c r="AU15" s="37">
        <v>0</v>
      </c>
      <c r="AV15" s="37">
        <v>0</v>
      </c>
      <c r="AW15" s="37" t="s">
        <v>106</v>
      </c>
      <c r="AX15" s="37" t="s">
        <v>89</v>
      </c>
      <c r="AY15" s="37" t="s">
        <v>107</v>
      </c>
      <c r="AZ15" s="37" t="s">
        <v>108</v>
      </c>
      <c r="BA15" s="37" t="s">
        <v>203</v>
      </c>
      <c r="BB15" s="37" t="s">
        <v>109</v>
      </c>
      <c r="BC15" s="38"/>
    </row>
    <row r="16" spans="1:55" ht="62.1" customHeight="1">
      <c r="A16" s="36" t="s">
        <v>293</v>
      </c>
      <c r="B16" s="37" t="s">
        <v>294</v>
      </c>
      <c r="C16" s="37" t="s">
        <v>295</v>
      </c>
      <c r="D16" s="37" t="s">
        <v>296</v>
      </c>
      <c r="E16" s="37" t="s">
        <v>81</v>
      </c>
      <c r="F16" s="37" t="s">
        <v>294</v>
      </c>
      <c r="G16" s="37" t="s">
        <v>78</v>
      </c>
      <c r="H16" s="37" t="s">
        <v>83</v>
      </c>
      <c r="I16" s="37" t="s">
        <v>132</v>
      </c>
      <c r="J16" s="37" t="s">
        <v>91</v>
      </c>
      <c r="K16" s="37" t="s">
        <v>91</v>
      </c>
      <c r="L16" s="37" t="s">
        <v>91</v>
      </c>
      <c r="M16" s="39" t="s">
        <v>665</v>
      </c>
      <c r="N16" s="37" t="s">
        <v>97</v>
      </c>
      <c r="O16" s="37" t="s">
        <v>91</v>
      </c>
      <c r="P16" s="37" t="s">
        <v>91</v>
      </c>
      <c r="Q16" s="37" t="s">
        <v>298</v>
      </c>
      <c r="R16" s="37" t="s">
        <v>299</v>
      </c>
      <c r="S16" s="37" t="s">
        <v>91</v>
      </c>
      <c r="T16" s="37" t="s">
        <v>156</v>
      </c>
      <c r="U16" s="37" t="s">
        <v>300</v>
      </c>
      <c r="V16" s="37" t="s">
        <v>301</v>
      </c>
      <c r="W16" s="37" t="s">
        <v>301</v>
      </c>
      <c r="X16" s="37" t="s">
        <v>301</v>
      </c>
      <c r="Y16" s="37" t="s">
        <v>302</v>
      </c>
      <c r="Z16" s="37" t="s">
        <v>303</v>
      </c>
      <c r="AA16" s="37" t="s">
        <v>303</v>
      </c>
      <c r="AB16" s="39" t="s">
        <v>664</v>
      </c>
      <c r="AC16" s="37" t="s">
        <v>91</v>
      </c>
      <c r="AD16" s="37">
        <v>90</v>
      </c>
      <c r="AE16" s="37" t="s">
        <v>305</v>
      </c>
      <c r="AF16" s="37" t="s">
        <v>98</v>
      </c>
      <c r="AG16" s="37" t="s">
        <v>99</v>
      </c>
      <c r="AH16" s="37" t="s">
        <v>306</v>
      </c>
      <c r="AI16" s="37" t="s">
        <v>307</v>
      </c>
      <c r="AJ16" s="37" t="s">
        <v>308</v>
      </c>
      <c r="AK16" s="37" t="s">
        <v>309</v>
      </c>
      <c r="AL16" s="37" t="s">
        <v>310</v>
      </c>
      <c r="AM16" s="37" t="s">
        <v>311</v>
      </c>
      <c r="AN16" s="37" t="s">
        <v>311</v>
      </c>
      <c r="AO16" s="37" t="s">
        <v>311</v>
      </c>
      <c r="AP16" s="37" t="s">
        <v>311</v>
      </c>
      <c r="AQ16" s="37" t="s">
        <v>311</v>
      </c>
      <c r="AR16" s="37" t="s">
        <v>311</v>
      </c>
      <c r="AS16" s="37" t="s">
        <v>105</v>
      </c>
      <c r="AT16" s="37" t="s">
        <v>311</v>
      </c>
      <c r="AU16" s="37" t="s">
        <v>311</v>
      </c>
      <c r="AV16" s="37" t="s">
        <v>311</v>
      </c>
      <c r="AW16" s="37" t="s">
        <v>312</v>
      </c>
      <c r="AX16" s="37" t="s">
        <v>97</v>
      </c>
      <c r="AY16" s="37" t="s">
        <v>313</v>
      </c>
      <c r="AZ16" s="37" t="s">
        <v>108</v>
      </c>
      <c r="BA16" s="37" t="s">
        <v>8</v>
      </c>
      <c r="BB16" s="37" t="s">
        <v>663</v>
      </c>
      <c r="BC16" s="40" t="s">
        <v>669</v>
      </c>
    </row>
    <row r="17" spans="1:55" ht="62.1" hidden="1" customHeight="1">
      <c r="A17" s="36" t="s">
        <v>315</v>
      </c>
      <c r="B17" s="37" t="s">
        <v>316</v>
      </c>
      <c r="C17" s="37" t="s">
        <v>317</v>
      </c>
      <c r="D17" s="37" t="s">
        <v>296</v>
      </c>
      <c r="E17" s="37" t="s">
        <v>178</v>
      </c>
      <c r="F17" s="37" t="s">
        <v>318</v>
      </c>
      <c r="G17" s="39" t="s">
        <v>122</v>
      </c>
      <c r="H17" s="37" t="s">
        <v>195</v>
      </c>
      <c r="I17" s="37" t="s">
        <v>132</v>
      </c>
      <c r="J17" s="37" t="s">
        <v>91</v>
      </c>
      <c r="K17" s="37" t="s">
        <v>91</v>
      </c>
      <c r="L17" s="37" t="s">
        <v>91</v>
      </c>
      <c r="M17" s="37" t="s">
        <v>319</v>
      </c>
      <c r="N17" s="37" t="s">
        <v>97</v>
      </c>
      <c r="O17" s="37" t="s">
        <v>91</v>
      </c>
      <c r="P17" s="37" t="s">
        <v>91</v>
      </c>
      <c r="Q17" s="37" t="s">
        <v>320</v>
      </c>
      <c r="R17" s="37" t="s">
        <v>321</v>
      </c>
      <c r="S17" s="37" t="s">
        <v>91</v>
      </c>
      <c r="T17" s="37" t="s">
        <v>91</v>
      </c>
      <c r="U17" s="37" t="s">
        <v>168</v>
      </c>
      <c r="V17" s="37" t="s">
        <v>301</v>
      </c>
      <c r="W17" s="37" t="s">
        <v>303</v>
      </c>
      <c r="X17" s="37" t="s">
        <v>301</v>
      </c>
      <c r="Y17" s="37" t="s">
        <v>302</v>
      </c>
      <c r="Z17" s="37" t="s">
        <v>303</v>
      </c>
      <c r="AA17" s="37" t="s">
        <v>303</v>
      </c>
      <c r="AB17" s="37" t="s">
        <v>304</v>
      </c>
      <c r="AC17" s="37" t="s">
        <v>91</v>
      </c>
      <c r="AD17" s="37" t="s">
        <v>169</v>
      </c>
      <c r="AE17" s="37" t="s">
        <v>91</v>
      </c>
      <c r="AF17" s="37" t="s">
        <v>322</v>
      </c>
      <c r="AG17" s="37" t="s">
        <v>122</v>
      </c>
      <c r="AH17" s="37" t="s">
        <v>323</v>
      </c>
      <c r="AI17" s="37" t="s">
        <v>307</v>
      </c>
      <c r="AJ17" s="37" t="s">
        <v>324</v>
      </c>
      <c r="AK17" s="37" t="s">
        <v>309</v>
      </c>
      <c r="AL17" s="37" t="s">
        <v>325</v>
      </c>
      <c r="AM17" s="37" t="s">
        <v>311</v>
      </c>
      <c r="AN17" s="37" t="s">
        <v>311</v>
      </c>
      <c r="AO17" s="37" t="s">
        <v>311</v>
      </c>
      <c r="AP17" s="37" t="s">
        <v>311</v>
      </c>
      <c r="AQ17" s="37" t="s">
        <v>311</v>
      </c>
      <c r="AR17" s="37" t="s">
        <v>311</v>
      </c>
      <c r="AS17" s="37" t="s">
        <v>202</v>
      </c>
      <c r="AT17" s="37" t="s">
        <v>311</v>
      </c>
      <c r="AU17" s="37" t="s">
        <v>311</v>
      </c>
      <c r="AV17" s="37" t="s">
        <v>311</v>
      </c>
      <c r="AW17" s="37" t="s">
        <v>312</v>
      </c>
      <c r="AX17" s="37" t="s">
        <v>97</v>
      </c>
      <c r="AY17" s="37" t="s">
        <v>326</v>
      </c>
      <c r="AZ17" s="37" t="s">
        <v>108</v>
      </c>
      <c r="BA17" s="37" t="s">
        <v>203</v>
      </c>
      <c r="BB17" s="37" t="s">
        <v>109</v>
      </c>
      <c r="BC17" s="38" t="s">
        <v>314</v>
      </c>
    </row>
    <row r="18" spans="1:55" ht="62.1" customHeight="1">
      <c r="A18" s="36" t="s">
        <v>327</v>
      </c>
      <c r="B18" s="37" t="s">
        <v>328</v>
      </c>
      <c r="C18" s="37" t="s">
        <v>329</v>
      </c>
      <c r="D18" s="37" t="s">
        <v>296</v>
      </c>
      <c r="E18" s="37" t="s">
        <v>330</v>
      </c>
      <c r="F18" s="37" t="s">
        <v>331</v>
      </c>
      <c r="G18" s="37" t="s">
        <v>330</v>
      </c>
      <c r="H18" s="37" t="s">
        <v>114</v>
      </c>
      <c r="I18" s="37" t="s">
        <v>84</v>
      </c>
      <c r="J18" s="37" t="s">
        <v>91</v>
      </c>
      <c r="K18" s="37" t="s">
        <v>91</v>
      </c>
      <c r="L18" s="37" t="s">
        <v>91</v>
      </c>
      <c r="M18" s="37" t="s">
        <v>332</v>
      </c>
      <c r="N18" s="37" t="s">
        <v>97</v>
      </c>
      <c r="O18" s="37" t="s">
        <v>91</v>
      </c>
      <c r="P18" s="37" t="s">
        <v>91</v>
      </c>
      <c r="Q18" s="37" t="s">
        <v>333</v>
      </c>
      <c r="R18" s="37" t="s">
        <v>334</v>
      </c>
      <c r="S18" s="37" t="s">
        <v>91</v>
      </c>
      <c r="T18" s="37" t="s">
        <v>91</v>
      </c>
      <c r="U18" s="37" t="s">
        <v>335</v>
      </c>
      <c r="V18" s="37" t="s">
        <v>301</v>
      </c>
      <c r="W18" s="37" t="s">
        <v>303</v>
      </c>
      <c r="X18" s="37" t="s">
        <v>301</v>
      </c>
      <c r="Y18" s="37" t="s">
        <v>302</v>
      </c>
      <c r="Z18" s="37" t="s">
        <v>303</v>
      </c>
      <c r="AA18" s="37" t="s">
        <v>303</v>
      </c>
      <c r="AB18" s="37" t="s">
        <v>304</v>
      </c>
      <c r="AC18" s="37" t="s">
        <v>91</v>
      </c>
      <c r="AD18" s="37" t="s">
        <v>169</v>
      </c>
      <c r="AE18" s="37" t="s">
        <v>328</v>
      </c>
      <c r="AF18" s="37" t="s">
        <v>330</v>
      </c>
      <c r="AG18" s="37" t="s">
        <v>162</v>
      </c>
      <c r="AH18" s="37" t="s">
        <v>336</v>
      </c>
      <c r="AI18" s="37" t="s">
        <v>307</v>
      </c>
      <c r="AJ18" s="37" t="s">
        <v>337</v>
      </c>
      <c r="AK18" s="37" t="s">
        <v>309</v>
      </c>
      <c r="AL18" s="37" t="s">
        <v>338</v>
      </c>
      <c r="AM18" s="37" t="s">
        <v>311</v>
      </c>
      <c r="AN18" s="37" t="s">
        <v>311</v>
      </c>
      <c r="AO18" s="37" t="s">
        <v>311</v>
      </c>
      <c r="AP18" s="37" t="s">
        <v>311</v>
      </c>
      <c r="AQ18" s="37" t="s">
        <v>311</v>
      </c>
      <c r="AR18" s="37" t="s">
        <v>311</v>
      </c>
      <c r="AS18" s="37" t="s">
        <v>127</v>
      </c>
      <c r="AT18" s="37" t="s">
        <v>311</v>
      </c>
      <c r="AU18" s="37" t="s">
        <v>311</v>
      </c>
      <c r="AV18" s="37" t="s">
        <v>311</v>
      </c>
      <c r="AW18" s="37" t="s">
        <v>312</v>
      </c>
      <c r="AX18" s="37" t="s">
        <v>97</v>
      </c>
      <c r="AY18" s="37" t="s">
        <v>326</v>
      </c>
      <c r="AZ18" s="37" t="s">
        <v>108</v>
      </c>
      <c r="BA18" s="37" t="s">
        <v>8</v>
      </c>
      <c r="BB18" s="37" t="s">
        <v>658</v>
      </c>
      <c r="BC18" s="40" t="s">
        <v>666</v>
      </c>
    </row>
    <row r="19" spans="1:55" ht="62.1" customHeight="1">
      <c r="A19" s="36" t="s">
        <v>339</v>
      </c>
      <c r="B19" s="37" t="s">
        <v>340</v>
      </c>
      <c r="C19" s="37" t="s">
        <v>341</v>
      </c>
      <c r="D19" s="37" t="s">
        <v>296</v>
      </c>
      <c r="E19" s="37" t="s">
        <v>342</v>
      </c>
      <c r="F19" s="37" t="s">
        <v>343</v>
      </c>
      <c r="G19" s="37" t="s">
        <v>162</v>
      </c>
      <c r="H19" s="37" t="s">
        <v>83</v>
      </c>
      <c r="I19" s="37" t="s">
        <v>164</v>
      </c>
      <c r="J19" s="37" t="s">
        <v>91</v>
      </c>
      <c r="K19" s="37" t="s">
        <v>91</v>
      </c>
      <c r="L19" s="37" t="s">
        <v>91</v>
      </c>
      <c r="M19" s="37" t="s">
        <v>344</v>
      </c>
      <c r="N19" s="37" t="s">
        <v>97</v>
      </c>
      <c r="O19" s="37" t="s">
        <v>91</v>
      </c>
      <c r="P19" s="37" t="s">
        <v>91</v>
      </c>
      <c r="Q19" s="37" t="s">
        <v>345</v>
      </c>
      <c r="R19" s="37" t="s">
        <v>346</v>
      </c>
      <c r="S19" s="37" t="s">
        <v>91</v>
      </c>
      <c r="T19" s="37" t="s">
        <v>91</v>
      </c>
      <c r="U19" s="37" t="s">
        <v>347</v>
      </c>
      <c r="V19" s="37" t="s">
        <v>301</v>
      </c>
      <c r="W19" s="37" t="s">
        <v>301</v>
      </c>
      <c r="X19" s="37" t="s">
        <v>301</v>
      </c>
      <c r="Y19" s="37" t="s">
        <v>302</v>
      </c>
      <c r="Z19" s="37" t="s">
        <v>303</v>
      </c>
      <c r="AA19" s="37" t="s">
        <v>303</v>
      </c>
      <c r="AB19" s="37" t="s">
        <v>304</v>
      </c>
      <c r="AC19" s="37" t="s">
        <v>91</v>
      </c>
      <c r="AD19" s="37" t="s">
        <v>169</v>
      </c>
      <c r="AE19" s="37" t="s">
        <v>348</v>
      </c>
      <c r="AF19" s="37" t="s">
        <v>349</v>
      </c>
      <c r="AG19" s="37" t="s">
        <v>162</v>
      </c>
      <c r="AH19" s="37" t="s">
        <v>350</v>
      </c>
      <c r="AI19" s="37" t="s">
        <v>307</v>
      </c>
      <c r="AJ19" s="37" t="s">
        <v>351</v>
      </c>
      <c r="AK19" s="37" t="s">
        <v>309</v>
      </c>
      <c r="AL19" s="37" t="s">
        <v>352</v>
      </c>
      <c r="AM19" s="37" t="s">
        <v>311</v>
      </c>
      <c r="AN19" s="37" t="s">
        <v>311</v>
      </c>
      <c r="AO19" s="37" t="s">
        <v>311</v>
      </c>
      <c r="AP19" s="37" t="s">
        <v>311</v>
      </c>
      <c r="AQ19" s="37" t="s">
        <v>311</v>
      </c>
      <c r="AR19" s="37" t="s">
        <v>311</v>
      </c>
      <c r="AS19" s="37" t="s">
        <v>105</v>
      </c>
      <c r="AT19" s="37" t="s">
        <v>311</v>
      </c>
      <c r="AU19" s="37" t="s">
        <v>311</v>
      </c>
      <c r="AV19" s="37" t="s">
        <v>311</v>
      </c>
      <c r="AW19" s="37" t="s">
        <v>312</v>
      </c>
      <c r="AX19" s="37" t="s">
        <v>97</v>
      </c>
      <c r="AY19" s="37" t="s">
        <v>326</v>
      </c>
      <c r="AZ19" s="37" t="s">
        <v>108</v>
      </c>
      <c r="BA19" s="37" t="s">
        <v>8</v>
      </c>
      <c r="BB19" s="37" t="s">
        <v>663</v>
      </c>
      <c r="BC19" s="38" t="s">
        <v>353</v>
      </c>
    </row>
    <row r="20" spans="1:55" ht="62.1" customHeight="1">
      <c r="A20" s="36" t="s">
        <v>354</v>
      </c>
      <c r="B20" s="37" t="s">
        <v>355</v>
      </c>
      <c r="C20" s="37" t="s">
        <v>356</v>
      </c>
      <c r="D20" s="37" t="s">
        <v>296</v>
      </c>
      <c r="E20" s="37" t="s">
        <v>357</v>
      </c>
      <c r="F20" s="37" t="s">
        <v>358</v>
      </c>
      <c r="G20" s="37" t="s">
        <v>359</v>
      </c>
      <c r="H20" s="37" t="s">
        <v>221</v>
      </c>
      <c r="I20" s="37" t="s">
        <v>360</v>
      </c>
      <c r="J20" s="37" t="s">
        <v>91</v>
      </c>
      <c r="K20" s="37" t="s">
        <v>91</v>
      </c>
      <c r="L20" s="37" t="s">
        <v>91</v>
      </c>
      <c r="M20" s="37" t="s">
        <v>361</v>
      </c>
      <c r="N20" s="37" t="s">
        <v>97</v>
      </c>
      <c r="O20" s="37" t="s">
        <v>91</v>
      </c>
      <c r="P20" s="37" t="s">
        <v>91</v>
      </c>
      <c r="Q20" s="37" t="s">
        <v>362</v>
      </c>
      <c r="R20" s="37" t="s">
        <v>363</v>
      </c>
      <c r="S20" s="37" t="s">
        <v>91</v>
      </c>
      <c r="T20" s="37" t="s">
        <v>91</v>
      </c>
      <c r="U20" s="37" t="s">
        <v>364</v>
      </c>
      <c r="V20" s="37" t="s">
        <v>301</v>
      </c>
      <c r="W20" s="37" t="s">
        <v>303</v>
      </c>
      <c r="X20" s="37" t="s">
        <v>301</v>
      </c>
      <c r="Y20" s="37" t="s">
        <v>302</v>
      </c>
      <c r="Z20" s="37" t="s">
        <v>301</v>
      </c>
      <c r="AA20" s="37" t="s">
        <v>303</v>
      </c>
      <c r="AB20" s="37" t="s">
        <v>304</v>
      </c>
      <c r="AC20" s="37" t="s">
        <v>91</v>
      </c>
      <c r="AD20" s="37" t="s">
        <v>169</v>
      </c>
      <c r="AE20" s="37" t="s">
        <v>91</v>
      </c>
      <c r="AF20" s="37" t="s">
        <v>365</v>
      </c>
      <c r="AG20" s="37" t="s">
        <v>359</v>
      </c>
      <c r="AH20" s="37" t="s">
        <v>366</v>
      </c>
      <c r="AI20" s="37" t="s">
        <v>307</v>
      </c>
      <c r="AJ20" s="37" t="s">
        <v>367</v>
      </c>
      <c r="AK20" s="37" t="s">
        <v>309</v>
      </c>
      <c r="AL20" s="37" t="s">
        <v>368</v>
      </c>
      <c r="AM20" s="37" t="s">
        <v>311</v>
      </c>
      <c r="AN20" s="37" t="s">
        <v>311</v>
      </c>
      <c r="AO20" s="37" t="s">
        <v>311</v>
      </c>
      <c r="AP20" s="37" t="s">
        <v>311</v>
      </c>
      <c r="AQ20" s="37" t="s">
        <v>311</v>
      </c>
      <c r="AR20" s="37" t="s">
        <v>311</v>
      </c>
      <c r="AS20" s="37" t="s">
        <v>202</v>
      </c>
      <c r="AT20" s="37" t="s">
        <v>311</v>
      </c>
      <c r="AU20" s="37" t="s">
        <v>311</v>
      </c>
      <c r="AV20" s="37" t="s">
        <v>311</v>
      </c>
      <c r="AW20" s="37" t="s">
        <v>312</v>
      </c>
      <c r="AX20" s="37" t="s">
        <v>97</v>
      </c>
      <c r="AY20" s="37" t="s">
        <v>369</v>
      </c>
      <c r="AZ20" s="37" t="s">
        <v>108</v>
      </c>
      <c r="BA20" s="37" t="s">
        <v>8</v>
      </c>
      <c r="BB20" s="37" t="s">
        <v>663</v>
      </c>
      <c r="BC20" s="40" t="s">
        <v>667</v>
      </c>
    </row>
    <row r="21" spans="1:55" ht="62.1" hidden="1" customHeight="1">
      <c r="A21" s="36" t="s">
        <v>371</v>
      </c>
      <c r="B21" s="37" t="s">
        <v>372</v>
      </c>
      <c r="C21" s="37" t="s">
        <v>373</v>
      </c>
      <c r="D21" s="37" t="s">
        <v>296</v>
      </c>
      <c r="E21" s="37" t="s">
        <v>178</v>
      </c>
      <c r="F21" s="37" t="s">
        <v>372</v>
      </c>
      <c r="G21" s="37" t="s">
        <v>374</v>
      </c>
      <c r="H21" s="37" t="s">
        <v>195</v>
      </c>
      <c r="I21" s="37" t="s">
        <v>132</v>
      </c>
      <c r="J21" s="37" t="s">
        <v>91</v>
      </c>
      <c r="K21" s="37" t="s">
        <v>91</v>
      </c>
      <c r="L21" s="37" t="s">
        <v>91</v>
      </c>
      <c r="M21" s="37" t="s">
        <v>375</v>
      </c>
      <c r="N21" s="37" t="s">
        <v>97</v>
      </c>
      <c r="O21" s="37" t="s">
        <v>91</v>
      </c>
      <c r="P21" s="37" t="s">
        <v>91</v>
      </c>
      <c r="Q21" s="37" t="s">
        <v>376</v>
      </c>
      <c r="R21" s="37" t="s">
        <v>377</v>
      </c>
      <c r="S21" s="37" t="s">
        <v>91</v>
      </c>
      <c r="T21" s="37" t="s">
        <v>91</v>
      </c>
      <c r="U21" s="37" t="s">
        <v>168</v>
      </c>
      <c r="V21" s="37" t="s">
        <v>301</v>
      </c>
      <c r="W21" s="37" t="s">
        <v>303</v>
      </c>
      <c r="X21" s="37" t="s">
        <v>301</v>
      </c>
      <c r="Y21" s="37" t="s">
        <v>302</v>
      </c>
      <c r="Z21" s="37" t="s">
        <v>303</v>
      </c>
      <c r="AA21" s="37" t="s">
        <v>303</v>
      </c>
      <c r="AB21" s="37" t="s">
        <v>304</v>
      </c>
      <c r="AC21" s="37" t="s">
        <v>91</v>
      </c>
      <c r="AD21" s="37" t="s">
        <v>169</v>
      </c>
      <c r="AE21" s="37" t="s">
        <v>91</v>
      </c>
      <c r="AF21" s="37" t="s">
        <v>322</v>
      </c>
      <c r="AG21" s="37" t="s">
        <v>122</v>
      </c>
      <c r="AH21" s="37" t="s">
        <v>378</v>
      </c>
      <c r="AI21" s="37" t="s">
        <v>307</v>
      </c>
      <c r="AJ21" s="37" t="s">
        <v>379</v>
      </c>
      <c r="AK21" s="37" t="s">
        <v>309</v>
      </c>
      <c r="AL21" s="37" t="s">
        <v>380</v>
      </c>
      <c r="AM21" s="37" t="s">
        <v>311</v>
      </c>
      <c r="AN21" s="37" t="s">
        <v>311</v>
      </c>
      <c r="AO21" s="37" t="s">
        <v>311</v>
      </c>
      <c r="AP21" s="37" t="s">
        <v>311</v>
      </c>
      <c r="AQ21" s="37" t="s">
        <v>311</v>
      </c>
      <c r="AR21" s="37" t="s">
        <v>311</v>
      </c>
      <c r="AS21" s="37" t="s">
        <v>202</v>
      </c>
      <c r="AT21" s="37" t="s">
        <v>311</v>
      </c>
      <c r="AU21" s="37" t="s">
        <v>311</v>
      </c>
      <c r="AV21" s="37" t="s">
        <v>311</v>
      </c>
      <c r="AW21" s="37" t="s">
        <v>312</v>
      </c>
      <c r="AX21" s="37" t="s">
        <v>97</v>
      </c>
      <c r="AY21" s="37" t="s">
        <v>381</v>
      </c>
      <c r="AZ21" s="37" t="s">
        <v>108</v>
      </c>
      <c r="BA21" s="37" t="s">
        <v>203</v>
      </c>
      <c r="BB21" s="37" t="s">
        <v>109</v>
      </c>
      <c r="BC21" s="38" t="s">
        <v>314</v>
      </c>
    </row>
    <row r="22" spans="1:55" ht="62.1" hidden="1" customHeight="1">
      <c r="A22" s="36" t="s">
        <v>382</v>
      </c>
      <c r="B22" s="37" t="s">
        <v>383</v>
      </c>
      <c r="C22" s="37" t="s">
        <v>384</v>
      </c>
      <c r="D22" s="37" t="s">
        <v>296</v>
      </c>
      <c r="E22" s="37" t="s">
        <v>178</v>
      </c>
      <c r="F22" s="37" t="s">
        <v>385</v>
      </c>
      <c r="G22" s="37" t="s">
        <v>122</v>
      </c>
      <c r="H22" s="37" t="s">
        <v>114</v>
      </c>
      <c r="I22" s="37" t="s">
        <v>84</v>
      </c>
      <c r="J22" s="37" t="s">
        <v>91</v>
      </c>
      <c r="K22" s="37" t="s">
        <v>91</v>
      </c>
      <c r="L22" s="37" t="s">
        <v>91</v>
      </c>
      <c r="M22" s="37" t="s">
        <v>319</v>
      </c>
      <c r="N22" s="37" t="s">
        <v>97</v>
      </c>
      <c r="O22" s="37" t="s">
        <v>91</v>
      </c>
      <c r="P22" s="37" t="s">
        <v>91</v>
      </c>
      <c r="Q22" s="37" t="s">
        <v>386</v>
      </c>
      <c r="R22" s="37" t="s">
        <v>387</v>
      </c>
      <c r="S22" s="37" t="s">
        <v>91</v>
      </c>
      <c r="T22" s="37" t="s">
        <v>91</v>
      </c>
      <c r="U22" s="37" t="s">
        <v>388</v>
      </c>
      <c r="V22" s="37" t="s">
        <v>301</v>
      </c>
      <c r="W22" s="37" t="s">
        <v>301</v>
      </c>
      <c r="X22" s="37" t="s">
        <v>301</v>
      </c>
      <c r="Y22" s="37" t="s">
        <v>302</v>
      </c>
      <c r="Z22" s="37" t="s">
        <v>303</v>
      </c>
      <c r="AA22" s="37" t="s">
        <v>303</v>
      </c>
      <c r="AB22" s="37" t="s">
        <v>304</v>
      </c>
      <c r="AC22" s="37" t="s">
        <v>91</v>
      </c>
      <c r="AD22" s="37">
        <v>60</v>
      </c>
      <c r="AE22" s="37" t="s">
        <v>389</v>
      </c>
      <c r="AF22" s="37" t="s">
        <v>121</v>
      </c>
      <c r="AG22" s="37" t="s">
        <v>122</v>
      </c>
      <c r="AH22" s="37" t="s">
        <v>390</v>
      </c>
      <c r="AI22" s="37" t="s">
        <v>307</v>
      </c>
      <c r="AJ22" s="37" t="s">
        <v>391</v>
      </c>
      <c r="AK22" s="37" t="s">
        <v>309</v>
      </c>
      <c r="AL22" s="37" t="s">
        <v>392</v>
      </c>
      <c r="AM22" s="37" t="s">
        <v>311</v>
      </c>
      <c r="AN22" s="37" t="s">
        <v>311</v>
      </c>
      <c r="AO22" s="37" t="s">
        <v>311</v>
      </c>
      <c r="AP22" s="37" t="s">
        <v>311</v>
      </c>
      <c r="AQ22" s="37" t="s">
        <v>311</v>
      </c>
      <c r="AR22" s="37" t="s">
        <v>311</v>
      </c>
      <c r="AS22" s="37" t="s">
        <v>127</v>
      </c>
      <c r="AT22" s="37" t="s">
        <v>311</v>
      </c>
      <c r="AU22" s="37" t="s">
        <v>311</v>
      </c>
      <c r="AV22" s="37" t="s">
        <v>311</v>
      </c>
      <c r="AW22" s="37" t="s">
        <v>312</v>
      </c>
      <c r="AX22" s="37" t="s">
        <v>97</v>
      </c>
      <c r="AY22" s="37" t="s">
        <v>381</v>
      </c>
      <c r="AZ22" s="37" t="s">
        <v>108</v>
      </c>
      <c r="BA22" s="37" t="s">
        <v>203</v>
      </c>
      <c r="BB22" s="37" t="s">
        <v>109</v>
      </c>
      <c r="BC22" s="38" t="s">
        <v>314</v>
      </c>
    </row>
    <row r="23" spans="1:55" ht="62.1" hidden="1" customHeight="1">
      <c r="A23" s="36" t="s">
        <v>393</v>
      </c>
      <c r="B23" s="37" t="s">
        <v>394</v>
      </c>
      <c r="C23" s="37" t="s">
        <v>395</v>
      </c>
      <c r="D23" s="37" t="s">
        <v>296</v>
      </c>
      <c r="E23" s="37" t="s">
        <v>178</v>
      </c>
      <c r="F23" s="37" t="s">
        <v>396</v>
      </c>
      <c r="G23" s="37" t="s">
        <v>397</v>
      </c>
      <c r="H23" s="37" t="s">
        <v>195</v>
      </c>
      <c r="I23" s="37" t="s">
        <v>132</v>
      </c>
      <c r="J23" s="37" t="s">
        <v>91</v>
      </c>
      <c r="K23" s="37" t="s">
        <v>91</v>
      </c>
      <c r="L23" s="37" t="s">
        <v>91</v>
      </c>
      <c r="M23" s="37" t="s">
        <v>273</v>
      </c>
      <c r="N23" s="37" t="s">
        <v>97</v>
      </c>
      <c r="O23" s="37" t="s">
        <v>91</v>
      </c>
      <c r="P23" s="37" t="s">
        <v>91</v>
      </c>
      <c r="Q23" s="37" t="s">
        <v>398</v>
      </c>
      <c r="R23" s="37" t="s">
        <v>399</v>
      </c>
      <c r="S23" s="37" t="s">
        <v>91</v>
      </c>
      <c r="T23" s="37" t="s">
        <v>91</v>
      </c>
      <c r="U23" s="37" t="s">
        <v>400</v>
      </c>
      <c r="V23" s="37" t="s">
        <v>301</v>
      </c>
      <c r="W23" s="37" t="s">
        <v>301</v>
      </c>
      <c r="X23" s="37" t="s">
        <v>301</v>
      </c>
      <c r="Y23" s="37" t="s">
        <v>302</v>
      </c>
      <c r="Z23" s="37" t="s">
        <v>303</v>
      </c>
      <c r="AA23" s="37" t="s">
        <v>303</v>
      </c>
      <c r="AB23" s="37" t="s">
        <v>304</v>
      </c>
      <c r="AC23" s="37" t="s">
        <v>91</v>
      </c>
      <c r="AD23" s="37">
        <v>120</v>
      </c>
      <c r="AE23" s="37" t="s">
        <v>401</v>
      </c>
      <c r="AF23" s="37" t="s">
        <v>121</v>
      </c>
      <c r="AG23" s="37" t="s">
        <v>397</v>
      </c>
      <c r="AH23" s="37" t="s">
        <v>402</v>
      </c>
      <c r="AI23" s="37" t="s">
        <v>307</v>
      </c>
      <c r="AJ23" s="37" t="s">
        <v>403</v>
      </c>
      <c r="AK23" s="37" t="s">
        <v>309</v>
      </c>
      <c r="AL23" s="37" t="s">
        <v>404</v>
      </c>
      <c r="AM23" s="37" t="s">
        <v>311</v>
      </c>
      <c r="AN23" s="37" t="s">
        <v>311</v>
      </c>
      <c r="AO23" s="37" t="s">
        <v>311</v>
      </c>
      <c r="AP23" s="37" t="s">
        <v>311</v>
      </c>
      <c r="AQ23" s="37" t="s">
        <v>311</v>
      </c>
      <c r="AR23" s="37" t="s">
        <v>311</v>
      </c>
      <c r="AS23" s="37" t="s">
        <v>202</v>
      </c>
      <c r="AT23" s="37" t="s">
        <v>311</v>
      </c>
      <c r="AU23" s="37" t="s">
        <v>311</v>
      </c>
      <c r="AV23" s="37" t="s">
        <v>311</v>
      </c>
      <c r="AW23" s="37" t="s">
        <v>312</v>
      </c>
      <c r="AX23" s="37" t="s">
        <v>97</v>
      </c>
      <c r="AY23" s="37" t="s">
        <v>381</v>
      </c>
      <c r="AZ23" s="37" t="s">
        <v>108</v>
      </c>
      <c r="BA23" s="37" t="s">
        <v>203</v>
      </c>
      <c r="BB23" s="37" t="s">
        <v>109</v>
      </c>
      <c r="BC23" s="38" t="s">
        <v>314</v>
      </c>
    </row>
    <row r="24" spans="1:55" ht="62.1" hidden="1" customHeight="1">
      <c r="A24" s="36" t="s">
        <v>405</v>
      </c>
      <c r="B24" s="37" t="s">
        <v>406</v>
      </c>
      <c r="C24" s="37" t="s">
        <v>407</v>
      </c>
      <c r="D24" s="37" t="s">
        <v>296</v>
      </c>
      <c r="E24" s="37" t="s">
        <v>408</v>
      </c>
      <c r="F24" s="37" t="s">
        <v>409</v>
      </c>
      <c r="G24" s="37" t="s">
        <v>410</v>
      </c>
      <c r="H24" s="37" t="s">
        <v>221</v>
      </c>
      <c r="I24" s="37" t="s">
        <v>84</v>
      </c>
      <c r="J24" s="37" t="s">
        <v>91</v>
      </c>
      <c r="K24" s="37" t="s">
        <v>91</v>
      </c>
      <c r="L24" s="37" t="s">
        <v>91</v>
      </c>
      <c r="M24" s="37" t="s">
        <v>411</v>
      </c>
      <c r="N24" s="37" t="s">
        <v>97</v>
      </c>
      <c r="O24" s="37" t="s">
        <v>91</v>
      </c>
      <c r="P24" s="37" t="s">
        <v>91</v>
      </c>
      <c r="Q24" s="37" t="s">
        <v>412</v>
      </c>
      <c r="R24" s="37" t="s">
        <v>413</v>
      </c>
      <c r="S24" s="37" t="s">
        <v>91</v>
      </c>
      <c r="T24" s="37" t="s">
        <v>91</v>
      </c>
      <c r="U24" s="37" t="s">
        <v>414</v>
      </c>
      <c r="V24" s="37" t="s">
        <v>301</v>
      </c>
      <c r="W24" s="37" t="s">
        <v>303</v>
      </c>
      <c r="X24" s="37" t="s">
        <v>301</v>
      </c>
      <c r="Y24" s="37" t="s">
        <v>302</v>
      </c>
      <c r="Z24" s="37" t="s">
        <v>301</v>
      </c>
      <c r="AA24" s="37" t="s">
        <v>301</v>
      </c>
      <c r="AB24" s="37" t="s">
        <v>304</v>
      </c>
      <c r="AC24" s="37" t="s">
        <v>91</v>
      </c>
      <c r="AD24" s="37" t="s">
        <v>169</v>
      </c>
      <c r="AE24" s="37" t="s">
        <v>91</v>
      </c>
      <c r="AF24" s="37" t="s">
        <v>415</v>
      </c>
      <c r="AG24" s="37" t="s">
        <v>233</v>
      </c>
      <c r="AH24" s="37" t="s">
        <v>416</v>
      </c>
      <c r="AI24" s="37" t="s">
        <v>307</v>
      </c>
      <c r="AJ24" s="37" t="s">
        <v>417</v>
      </c>
      <c r="AK24" s="37" t="s">
        <v>309</v>
      </c>
      <c r="AL24" s="37" t="s">
        <v>418</v>
      </c>
      <c r="AM24" s="37" t="s">
        <v>311</v>
      </c>
      <c r="AN24" s="37" t="s">
        <v>311</v>
      </c>
      <c r="AO24" s="37" t="s">
        <v>311</v>
      </c>
      <c r="AP24" s="37" t="s">
        <v>311</v>
      </c>
      <c r="AQ24" s="37" t="s">
        <v>311</v>
      </c>
      <c r="AR24" s="37" t="s">
        <v>311</v>
      </c>
      <c r="AS24" s="37" t="s">
        <v>202</v>
      </c>
      <c r="AT24" s="37" t="s">
        <v>311</v>
      </c>
      <c r="AU24" s="37" t="s">
        <v>311</v>
      </c>
      <c r="AV24" s="37" t="s">
        <v>311</v>
      </c>
      <c r="AW24" s="37" t="s">
        <v>312</v>
      </c>
      <c r="AX24" s="37" t="s">
        <v>97</v>
      </c>
      <c r="AY24" s="37" t="s">
        <v>381</v>
      </c>
      <c r="AZ24" s="37" t="s">
        <v>108</v>
      </c>
      <c r="BA24" s="37" t="s">
        <v>203</v>
      </c>
      <c r="BB24" s="37" t="s">
        <v>109</v>
      </c>
      <c r="BC24" s="38" t="s">
        <v>419</v>
      </c>
    </row>
    <row r="25" spans="1:55" ht="62.1" customHeight="1">
      <c r="A25" s="36" t="s">
        <v>420</v>
      </c>
      <c r="B25" s="37" t="s">
        <v>421</v>
      </c>
      <c r="C25" s="37" t="s">
        <v>422</v>
      </c>
      <c r="D25" s="37" t="s">
        <v>296</v>
      </c>
      <c r="E25" s="37" t="s">
        <v>423</v>
      </c>
      <c r="F25" s="37" t="s">
        <v>424</v>
      </c>
      <c r="G25" s="37" t="s">
        <v>423</v>
      </c>
      <c r="H25" s="37" t="s">
        <v>83</v>
      </c>
      <c r="I25" s="37" t="s">
        <v>132</v>
      </c>
      <c r="J25" s="37" t="s">
        <v>91</v>
      </c>
      <c r="K25" s="37" t="s">
        <v>91</v>
      </c>
      <c r="L25" s="37" t="s">
        <v>91</v>
      </c>
      <c r="M25" s="37" t="s">
        <v>273</v>
      </c>
      <c r="N25" s="37" t="s">
        <v>97</v>
      </c>
      <c r="O25" s="37" t="s">
        <v>91</v>
      </c>
      <c r="P25" s="37" t="s">
        <v>91</v>
      </c>
      <c r="Q25" s="37" t="s">
        <v>425</v>
      </c>
      <c r="R25" s="37" t="s">
        <v>426</v>
      </c>
      <c r="S25" s="37" t="s">
        <v>91</v>
      </c>
      <c r="T25" s="37" t="s">
        <v>91</v>
      </c>
      <c r="U25" s="37" t="s">
        <v>427</v>
      </c>
      <c r="V25" s="37" t="s">
        <v>301</v>
      </c>
      <c r="W25" s="37" t="s">
        <v>303</v>
      </c>
      <c r="X25" s="37" t="s">
        <v>303</v>
      </c>
      <c r="Y25" s="37" t="s">
        <v>302</v>
      </c>
      <c r="Z25" s="37" t="s">
        <v>303</v>
      </c>
      <c r="AA25" s="37" t="s">
        <v>303</v>
      </c>
      <c r="AB25" s="37" t="s">
        <v>304</v>
      </c>
      <c r="AC25" s="37" t="s">
        <v>91</v>
      </c>
      <c r="AD25" s="37" t="s">
        <v>169</v>
      </c>
      <c r="AE25" s="37" t="s">
        <v>91</v>
      </c>
      <c r="AF25" s="37" t="s">
        <v>428</v>
      </c>
      <c r="AG25" s="37" t="s">
        <v>423</v>
      </c>
      <c r="AH25" s="37" t="s">
        <v>429</v>
      </c>
      <c r="AI25" s="37" t="s">
        <v>307</v>
      </c>
      <c r="AJ25" s="37" t="s">
        <v>430</v>
      </c>
      <c r="AK25" s="37" t="s">
        <v>309</v>
      </c>
      <c r="AL25" s="37" t="s">
        <v>431</v>
      </c>
      <c r="AM25" s="37" t="s">
        <v>311</v>
      </c>
      <c r="AN25" s="37" t="s">
        <v>311</v>
      </c>
      <c r="AO25" s="37" t="s">
        <v>311</v>
      </c>
      <c r="AP25" s="37" t="s">
        <v>311</v>
      </c>
      <c r="AQ25" s="37" t="s">
        <v>311</v>
      </c>
      <c r="AR25" s="37" t="s">
        <v>311</v>
      </c>
      <c r="AS25" s="37" t="s">
        <v>105</v>
      </c>
      <c r="AT25" s="37" t="s">
        <v>311</v>
      </c>
      <c r="AU25" s="37" t="s">
        <v>311</v>
      </c>
      <c r="AV25" s="37" t="s">
        <v>311</v>
      </c>
      <c r="AW25" s="37" t="s">
        <v>312</v>
      </c>
      <c r="AX25" s="37" t="s">
        <v>97</v>
      </c>
      <c r="AY25" s="37" t="s">
        <v>381</v>
      </c>
      <c r="AZ25" s="37" t="s">
        <v>108</v>
      </c>
      <c r="BA25" s="37" t="s">
        <v>8</v>
      </c>
      <c r="BB25" s="37" t="s">
        <v>663</v>
      </c>
      <c r="BC25" s="38" t="s">
        <v>432</v>
      </c>
    </row>
    <row r="26" spans="1:55" ht="62.1" customHeight="1">
      <c r="A26" s="36" t="s">
        <v>433</v>
      </c>
      <c r="B26" s="37" t="s">
        <v>434</v>
      </c>
      <c r="C26" s="37" t="s">
        <v>435</v>
      </c>
      <c r="D26" s="37" t="s">
        <v>296</v>
      </c>
      <c r="E26" s="37" t="s">
        <v>81</v>
      </c>
      <c r="F26" s="37" t="s">
        <v>436</v>
      </c>
      <c r="G26" s="37" t="s">
        <v>148</v>
      </c>
      <c r="H26" s="37" t="s">
        <v>114</v>
      </c>
      <c r="I26" s="37" t="s">
        <v>164</v>
      </c>
      <c r="J26" s="37" t="s">
        <v>91</v>
      </c>
      <c r="K26" s="37" t="s">
        <v>91</v>
      </c>
      <c r="L26" s="37" t="s">
        <v>91</v>
      </c>
      <c r="M26" s="37" t="s">
        <v>437</v>
      </c>
      <c r="N26" s="37" t="s">
        <v>97</v>
      </c>
      <c r="O26" s="37" t="s">
        <v>91</v>
      </c>
      <c r="P26" s="37" t="s">
        <v>91</v>
      </c>
      <c r="Q26" s="37" t="s">
        <v>438</v>
      </c>
      <c r="R26" s="37" t="s">
        <v>439</v>
      </c>
      <c r="S26" s="37" t="s">
        <v>91</v>
      </c>
      <c r="T26" s="37" t="s">
        <v>91</v>
      </c>
      <c r="U26" s="37" t="s">
        <v>400</v>
      </c>
      <c r="V26" s="37" t="s">
        <v>301</v>
      </c>
      <c r="W26" s="37" t="s">
        <v>301</v>
      </c>
      <c r="X26" s="37" t="s">
        <v>301</v>
      </c>
      <c r="Y26" s="39" t="s">
        <v>97</v>
      </c>
      <c r="Z26" s="37" t="s">
        <v>303</v>
      </c>
      <c r="AA26" s="37" t="s">
        <v>303</v>
      </c>
      <c r="AB26" s="39" t="s">
        <v>89</v>
      </c>
      <c r="AC26" s="37" t="s">
        <v>91</v>
      </c>
      <c r="AD26" s="37">
        <v>180</v>
      </c>
      <c r="AE26" s="37" t="s">
        <v>440</v>
      </c>
      <c r="AF26" s="37" t="s">
        <v>121</v>
      </c>
      <c r="AG26" s="37" t="s">
        <v>441</v>
      </c>
      <c r="AH26" s="39" t="s">
        <v>668</v>
      </c>
      <c r="AI26" s="37" t="s">
        <v>307</v>
      </c>
      <c r="AJ26" s="37" t="s">
        <v>442</v>
      </c>
      <c r="AK26" s="37" t="s">
        <v>309</v>
      </c>
      <c r="AL26" s="37" t="s">
        <v>443</v>
      </c>
      <c r="AM26" s="37">
        <v>1</v>
      </c>
      <c r="AN26" s="37">
        <v>2</v>
      </c>
      <c r="AO26" s="37" t="s">
        <v>311</v>
      </c>
      <c r="AP26" s="37" t="s">
        <v>311</v>
      </c>
      <c r="AQ26" s="37" t="s">
        <v>311</v>
      </c>
      <c r="AR26" s="37" t="s">
        <v>311</v>
      </c>
      <c r="AS26" s="37" t="s">
        <v>127</v>
      </c>
      <c r="AT26" s="37">
        <v>1</v>
      </c>
      <c r="AU26" s="37" t="s">
        <v>311</v>
      </c>
      <c r="AV26" s="37" t="s">
        <v>311</v>
      </c>
      <c r="AW26" s="37" t="s">
        <v>312</v>
      </c>
      <c r="AX26" s="37" t="s">
        <v>97</v>
      </c>
      <c r="AY26" s="37" t="s">
        <v>381</v>
      </c>
      <c r="AZ26" s="37" t="s">
        <v>108</v>
      </c>
      <c r="BA26" s="37" t="s">
        <v>8</v>
      </c>
      <c r="BB26" s="37" t="s">
        <v>658</v>
      </c>
      <c r="BC26" s="40" t="s">
        <v>670</v>
      </c>
    </row>
    <row r="27" spans="1:55" ht="62.1" hidden="1" customHeight="1">
      <c r="A27" s="36" t="s">
        <v>444</v>
      </c>
      <c r="B27" s="37" t="s">
        <v>445</v>
      </c>
      <c r="C27" s="37" t="s">
        <v>446</v>
      </c>
      <c r="D27" s="37" t="s">
        <v>296</v>
      </c>
      <c r="E27" s="37" t="s">
        <v>447</v>
      </c>
      <c r="F27" s="37" t="s">
        <v>448</v>
      </c>
      <c r="G27" s="37" t="s">
        <v>180</v>
      </c>
      <c r="H27" s="37" t="s">
        <v>221</v>
      </c>
      <c r="I27" s="37" t="s">
        <v>84</v>
      </c>
      <c r="J27" s="37" t="s">
        <v>91</v>
      </c>
      <c r="K27" s="37" t="s">
        <v>91</v>
      </c>
      <c r="L27" s="37" t="s">
        <v>91</v>
      </c>
      <c r="M27" s="37" t="s">
        <v>449</v>
      </c>
      <c r="N27" s="37" t="s">
        <v>97</v>
      </c>
      <c r="O27" s="37" t="s">
        <v>91</v>
      </c>
      <c r="P27" s="37" t="s">
        <v>91</v>
      </c>
      <c r="Q27" s="37" t="s">
        <v>450</v>
      </c>
      <c r="R27" s="37" t="s">
        <v>451</v>
      </c>
      <c r="S27" s="37" t="s">
        <v>91</v>
      </c>
      <c r="T27" s="37" t="s">
        <v>91</v>
      </c>
      <c r="U27" s="37" t="s">
        <v>452</v>
      </c>
      <c r="V27" s="37" t="s">
        <v>301</v>
      </c>
      <c r="W27" s="37" t="s">
        <v>303</v>
      </c>
      <c r="X27" s="37" t="s">
        <v>301</v>
      </c>
      <c r="Y27" s="37" t="s">
        <v>302</v>
      </c>
      <c r="Z27" s="37" t="s">
        <v>301</v>
      </c>
      <c r="AA27" s="37" t="s">
        <v>301</v>
      </c>
      <c r="AB27" s="37" t="s">
        <v>304</v>
      </c>
      <c r="AC27" s="37" t="s">
        <v>91</v>
      </c>
      <c r="AD27" s="37" t="s">
        <v>169</v>
      </c>
      <c r="AE27" s="37" t="s">
        <v>91</v>
      </c>
      <c r="AF27" s="37" t="s">
        <v>453</v>
      </c>
      <c r="AG27" s="37" t="s">
        <v>180</v>
      </c>
      <c r="AH27" s="37" t="s">
        <v>141</v>
      </c>
      <c r="AI27" s="37" t="s">
        <v>307</v>
      </c>
      <c r="AJ27" s="37" t="s">
        <v>454</v>
      </c>
      <c r="AK27" s="37" t="s">
        <v>309</v>
      </c>
      <c r="AL27" s="37" t="s">
        <v>455</v>
      </c>
      <c r="AM27" s="37" t="s">
        <v>311</v>
      </c>
      <c r="AN27" s="37" t="s">
        <v>311</v>
      </c>
      <c r="AO27" s="37" t="s">
        <v>311</v>
      </c>
      <c r="AP27" s="37" t="s">
        <v>311</v>
      </c>
      <c r="AQ27" s="37" t="s">
        <v>311</v>
      </c>
      <c r="AR27" s="37" t="s">
        <v>311</v>
      </c>
      <c r="AS27" s="37" t="s">
        <v>202</v>
      </c>
      <c r="AT27" s="37" t="s">
        <v>311</v>
      </c>
      <c r="AU27" s="37" t="s">
        <v>311</v>
      </c>
      <c r="AV27" s="37" t="s">
        <v>311</v>
      </c>
      <c r="AW27" s="37" t="s">
        <v>312</v>
      </c>
      <c r="AX27" s="37" t="s">
        <v>97</v>
      </c>
      <c r="AY27" s="37" t="s">
        <v>456</v>
      </c>
      <c r="AZ27" s="37" t="s">
        <v>108</v>
      </c>
      <c r="BA27" s="37" t="s">
        <v>203</v>
      </c>
      <c r="BB27" s="37" t="s">
        <v>109</v>
      </c>
      <c r="BC27" s="38" t="s">
        <v>457</v>
      </c>
    </row>
    <row r="28" spans="1:55" ht="62.1" customHeight="1">
      <c r="A28" s="36" t="s">
        <v>458</v>
      </c>
      <c r="B28" s="37" t="s">
        <v>459</v>
      </c>
      <c r="C28" s="37" t="s">
        <v>460</v>
      </c>
      <c r="D28" s="37" t="s">
        <v>296</v>
      </c>
      <c r="E28" s="37" t="s">
        <v>461</v>
      </c>
      <c r="F28" s="37" t="s">
        <v>459</v>
      </c>
      <c r="G28" s="37" t="s">
        <v>462</v>
      </c>
      <c r="H28" s="37" t="s">
        <v>221</v>
      </c>
      <c r="I28" s="37" t="s">
        <v>132</v>
      </c>
      <c r="J28" s="37" t="s">
        <v>91</v>
      </c>
      <c r="K28" s="37" t="s">
        <v>91</v>
      </c>
      <c r="L28" s="37" t="s">
        <v>91</v>
      </c>
      <c r="M28" s="39" t="s">
        <v>671</v>
      </c>
      <c r="N28" s="37" t="s">
        <v>97</v>
      </c>
      <c r="O28" s="37" t="s">
        <v>91</v>
      </c>
      <c r="P28" s="37" t="s">
        <v>91</v>
      </c>
      <c r="Q28" s="37" t="s">
        <v>464</v>
      </c>
      <c r="R28" s="37" t="s">
        <v>465</v>
      </c>
      <c r="S28" s="37" t="s">
        <v>91</v>
      </c>
      <c r="T28" s="37" t="s">
        <v>91</v>
      </c>
      <c r="U28" s="37" t="s">
        <v>466</v>
      </c>
      <c r="V28" s="37" t="s">
        <v>301</v>
      </c>
      <c r="W28" s="37" t="s">
        <v>303</v>
      </c>
      <c r="X28" s="37" t="s">
        <v>303</v>
      </c>
      <c r="Y28" s="37" t="s">
        <v>302</v>
      </c>
      <c r="Z28" s="37" t="s">
        <v>301</v>
      </c>
      <c r="AA28" s="37" t="s">
        <v>301</v>
      </c>
      <c r="AB28" s="37" t="s">
        <v>304</v>
      </c>
      <c r="AC28" s="37" t="s">
        <v>91</v>
      </c>
      <c r="AD28" s="37" t="s">
        <v>169</v>
      </c>
      <c r="AE28" s="37" t="s">
        <v>91</v>
      </c>
      <c r="AF28" s="37" t="s">
        <v>233</v>
      </c>
      <c r="AG28" s="37" t="s">
        <v>233</v>
      </c>
      <c r="AH28" s="37" t="s">
        <v>467</v>
      </c>
      <c r="AI28" s="37" t="s">
        <v>307</v>
      </c>
      <c r="AJ28" s="37" t="s">
        <v>468</v>
      </c>
      <c r="AK28" s="37" t="s">
        <v>309</v>
      </c>
      <c r="AL28" s="37" t="s">
        <v>469</v>
      </c>
      <c r="AM28" s="37">
        <v>6</v>
      </c>
      <c r="AN28" s="37">
        <v>1</v>
      </c>
      <c r="AO28" s="37" t="s">
        <v>311</v>
      </c>
      <c r="AP28" s="37" t="s">
        <v>311</v>
      </c>
      <c r="AQ28" s="37" t="s">
        <v>311</v>
      </c>
      <c r="AR28" s="37" t="s">
        <v>311</v>
      </c>
      <c r="AS28" s="37" t="s">
        <v>202</v>
      </c>
      <c r="AT28" s="37" t="s">
        <v>311</v>
      </c>
      <c r="AU28" s="37">
        <v>0</v>
      </c>
      <c r="AV28" s="37" t="s">
        <v>470</v>
      </c>
      <c r="AW28" s="37" t="s">
        <v>312</v>
      </c>
      <c r="AX28" s="37" t="s">
        <v>97</v>
      </c>
      <c r="AY28" s="37" t="s">
        <v>456</v>
      </c>
      <c r="AZ28" s="37" t="s">
        <v>108</v>
      </c>
      <c r="BA28" s="37" t="s">
        <v>8</v>
      </c>
      <c r="BB28" s="37" t="s">
        <v>663</v>
      </c>
      <c r="BC28" s="38" t="s">
        <v>471</v>
      </c>
    </row>
    <row r="29" spans="1:55" ht="62.1" customHeight="1">
      <c r="A29" s="36" t="s">
        <v>472</v>
      </c>
      <c r="B29" s="37" t="s">
        <v>473</v>
      </c>
      <c r="C29" s="37" t="s">
        <v>474</v>
      </c>
      <c r="D29" s="37" t="s">
        <v>296</v>
      </c>
      <c r="E29" s="37" t="s">
        <v>207</v>
      </c>
      <c r="F29" s="37" t="s">
        <v>473</v>
      </c>
      <c r="G29" s="37" t="s">
        <v>162</v>
      </c>
      <c r="H29" s="37" t="s">
        <v>195</v>
      </c>
      <c r="I29" s="37" t="s">
        <v>132</v>
      </c>
      <c r="J29" s="37" t="s">
        <v>91</v>
      </c>
      <c r="K29" s="37" t="s">
        <v>91</v>
      </c>
      <c r="L29" s="37" t="s">
        <v>91</v>
      </c>
      <c r="M29" s="39" t="s">
        <v>672</v>
      </c>
      <c r="N29" s="37" t="s">
        <v>97</v>
      </c>
      <c r="O29" s="37" t="s">
        <v>91</v>
      </c>
      <c r="P29" s="37" t="s">
        <v>91</v>
      </c>
      <c r="Q29" s="37" t="s">
        <v>476</v>
      </c>
      <c r="R29" s="37" t="s">
        <v>477</v>
      </c>
      <c r="S29" s="37" t="s">
        <v>91</v>
      </c>
      <c r="T29" s="37" t="s">
        <v>91</v>
      </c>
      <c r="U29" s="37" t="s">
        <v>478</v>
      </c>
      <c r="V29" s="37" t="s">
        <v>301</v>
      </c>
      <c r="W29" s="37" t="s">
        <v>301</v>
      </c>
      <c r="X29" s="37" t="s">
        <v>301</v>
      </c>
      <c r="Y29" s="37" t="s">
        <v>302</v>
      </c>
      <c r="Z29" s="37" t="s">
        <v>303</v>
      </c>
      <c r="AA29" s="37" t="s">
        <v>303</v>
      </c>
      <c r="AB29" s="39" t="s">
        <v>304</v>
      </c>
      <c r="AC29" s="37" t="s">
        <v>91</v>
      </c>
      <c r="AD29" s="39" t="s">
        <v>673</v>
      </c>
      <c r="AE29" s="37" t="s">
        <v>479</v>
      </c>
      <c r="AF29" s="37" t="s">
        <v>480</v>
      </c>
      <c r="AG29" s="37" t="s">
        <v>162</v>
      </c>
      <c r="AH29" s="37" t="s">
        <v>481</v>
      </c>
      <c r="AI29" s="37" t="s">
        <v>307</v>
      </c>
      <c r="AJ29" s="39" t="s">
        <v>674</v>
      </c>
      <c r="AK29" s="39" t="s">
        <v>675</v>
      </c>
      <c r="AL29" s="37" t="s">
        <v>482</v>
      </c>
      <c r="AM29" s="37">
        <v>6</v>
      </c>
      <c r="AN29" s="37" t="s">
        <v>311</v>
      </c>
      <c r="AO29" s="37" t="s">
        <v>311</v>
      </c>
      <c r="AP29" s="37" t="s">
        <v>311</v>
      </c>
      <c r="AQ29" s="37" t="s">
        <v>311</v>
      </c>
      <c r="AR29" s="37" t="s">
        <v>311</v>
      </c>
      <c r="AS29" s="37" t="s">
        <v>202</v>
      </c>
      <c r="AT29" s="37" t="s">
        <v>311</v>
      </c>
      <c r="AU29" s="37">
        <v>1</v>
      </c>
      <c r="AV29" s="37" t="s">
        <v>311</v>
      </c>
      <c r="AW29" s="37" t="s">
        <v>312</v>
      </c>
      <c r="AX29" s="37" t="s">
        <v>97</v>
      </c>
      <c r="AY29" s="37" t="s">
        <v>456</v>
      </c>
      <c r="AZ29" s="37" t="s">
        <v>108</v>
      </c>
      <c r="BA29" s="37" t="s">
        <v>8</v>
      </c>
      <c r="BB29" s="37" t="s">
        <v>658</v>
      </c>
      <c r="BC29" s="40" t="s">
        <v>676</v>
      </c>
    </row>
    <row r="30" spans="1:55" ht="62.1" customHeight="1">
      <c r="A30" s="36" t="s">
        <v>483</v>
      </c>
      <c r="B30" s="37" t="s">
        <v>484</v>
      </c>
      <c r="C30" s="37" t="s">
        <v>485</v>
      </c>
      <c r="D30" s="37" t="s">
        <v>296</v>
      </c>
      <c r="E30" s="37" t="s">
        <v>423</v>
      </c>
      <c r="F30" s="37" t="s">
        <v>486</v>
      </c>
      <c r="G30" s="37" t="s">
        <v>423</v>
      </c>
      <c r="H30" s="37" t="s">
        <v>83</v>
      </c>
      <c r="I30" s="37" t="s">
        <v>164</v>
      </c>
      <c r="J30" s="37" t="s">
        <v>91</v>
      </c>
      <c r="K30" s="37" t="s">
        <v>91</v>
      </c>
      <c r="L30" s="37" t="s">
        <v>91</v>
      </c>
      <c r="M30" s="37" t="s">
        <v>487</v>
      </c>
      <c r="N30" s="37" t="s">
        <v>97</v>
      </c>
      <c r="O30" s="37" t="s">
        <v>91</v>
      </c>
      <c r="P30" s="37" t="s">
        <v>91</v>
      </c>
      <c r="Q30" s="37" t="s">
        <v>488</v>
      </c>
      <c r="R30" s="37" t="s">
        <v>489</v>
      </c>
      <c r="S30" s="37" t="s">
        <v>91</v>
      </c>
      <c r="T30" s="37" t="s">
        <v>91</v>
      </c>
      <c r="U30" s="37" t="s">
        <v>490</v>
      </c>
      <c r="V30" s="37" t="s">
        <v>301</v>
      </c>
      <c r="W30" s="37" t="s">
        <v>303</v>
      </c>
      <c r="X30" s="37" t="s">
        <v>303</v>
      </c>
      <c r="Y30" s="37" t="s">
        <v>302</v>
      </c>
      <c r="Z30" s="37" t="s">
        <v>303</v>
      </c>
      <c r="AA30" s="37" t="s">
        <v>303</v>
      </c>
      <c r="AB30" s="37" t="s">
        <v>304</v>
      </c>
      <c r="AC30" s="37" t="s">
        <v>91</v>
      </c>
      <c r="AD30" s="37" t="s">
        <v>169</v>
      </c>
      <c r="AE30" s="37" t="s">
        <v>91</v>
      </c>
      <c r="AF30" s="37" t="s">
        <v>428</v>
      </c>
      <c r="AG30" s="37" t="s">
        <v>423</v>
      </c>
      <c r="AH30" s="37" t="s">
        <v>491</v>
      </c>
      <c r="AI30" s="37" t="s">
        <v>307</v>
      </c>
      <c r="AJ30" s="37" t="s">
        <v>492</v>
      </c>
      <c r="AK30" s="37" t="s">
        <v>309</v>
      </c>
      <c r="AL30" s="37" t="s">
        <v>493</v>
      </c>
      <c r="AM30" s="37" t="s">
        <v>311</v>
      </c>
      <c r="AN30" s="37" t="s">
        <v>311</v>
      </c>
      <c r="AO30" s="37" t="s">
        <v>311</v>
      </c>
      <c r="AP30" s="37" t="s">
        <v>311</v>
      </c>
      <c r="AQ30" s="37" t="s">
        <v>311</v>
      </c>
      <c r="AR30" s="37" t="s">
        <v>311</v>
      </c>
      <c r="AS30" s="37" t="s">
        <v>105</v>
      </c>
      <c r="AT30" s="37" t="s">
        <v>311</v>
      </c>
      <c r="AU30" s="37" t="s">
        <v>311</v>
      </c>
      <c r="AV30" s="37" t="s">
        <v>470</v>
      </c>
      <c r="AW30" s="37" t="s">
        <v>312</v>
      </c>
      <c r="AX30" s="37" t="s">
        <v>97</v>
      </c>
      <c r="AY30" s="37" t="s">
        <v>456</v>
      </c>
      <c r="AZ30" s="37" t="s">
        <v>108</v>
      </c>
      <c r="BA30" s="37" t="s">
        <v>8</v>
      </c>
      <c r="BB30" s="37" t="s">
        <v>677</v>
      </c>
      <c r="BC30" s="38" t="s">
        <v>432</v>
      </c>
    </row>
    <row r="31" spans="1:55" ht="62.1" customHeight="1">
      <c r="A31" s="36" t="s">
        <v>494</v>
      </c>
      <c r="B31" s="37" t="s">
        <v>495</v>
      </c>
      <c r="C31" s="37" t="s">
        <v>496</v>
      </c>
      <c r="D31" s="37" t="s">
        <v>296</v>
      </c>
      <c r="E31" s="37" t="s">
        <v>447</v>
      </c>
      <c r="F31" s="37" t="s">
        <v>497</v>
      </c>
      <c r="G31" s="37" t="s">
        <v>180</v>
      </c>
      <c r="H31" s="37" t="s">
        <v>221</v>
      </c>
      <c r="I31" s="37" t="s">
        <v>132</v>
      </c>
      <c r="J31" s="37" t="s">
        <v>91</v>
      </c>
      <c r="K31" s="37" t="s">
        <v>91</v>
      </c>
      <c r="L31" s="37" t="s">
        <v>91</v>
      </c>
      <c r="M31" s="37" t="s">
        <v>498</v>
      </c>
      <c r="N31" s="37" t="s">
        <v>97</v>
      </c>
      <c r="O31" s="37" t="s">
        <v>91</v>
      </c>
      <c r="P31" s="37" t="s">
        <v>91</v>
      </c>
      <c r="Q31" s="37" t="s">
        <v>499</v>
      </c>
      <c r="R31" s="37" t="s">
        <v>500</v>
      </c>
      <c r="S31" s="37" t="s">
        <v>91</v>
      </c>
      <c r="T31" s="37" t="s">
        <v>91</v>
      </c>
      <c r="U31" s="37" t="s">
        <v>501</v>
      </c>
      <c r="V31" s="37" t="s">
        <v>301</v>
      </c>
      <c r="W31" s="37" t="s">
        <v>303</v>
      </c>
      <c r="X31" s="37" t="s">
        <v>301</v>
      </c>
      <c r="Y31" s="37" t="s">
        <v>302</v>
      </c>
      <c r="Z31" s="37" t="s">
        <v>301</v>
      </c>
      <c r="AA31" s="37" t="s">
        <v>301</v>
      </c>
      <c r="AB31" s="37" t="s">
        <v>304</v>
      </c>
      <c r="AC31" s="37" t="s">
        <v>91</v>
      </c>
      <c r="AD31" s="37" t="s">
        <v>169</v>
      </c>
      <c r="AE31" s="37" t="s">
        <v>91</v>
      </c>
      <c r="AF31" s="37" t="s">
        <v>453</v>
      </c>
      <c r="AG31" s="37" t="s">
        <v>180</v>
      </c>
      <c r="AH31" s="37" t="s">
        <v>502</v>
      </c>
      <c r="AI31" s="37" t="s">
        <v>307</v>
      </c>
      <c r="AJ31" s="37" t="s">
        <v>503</v>
      </c>
      <c r="AK31" s="37" t="s">
        <v>309</v>
      </c>
      <c r="AL31" s="37" t="s">
        <v>504</v>
      </c>
      <c r="AM31" s="37" t="s">
        <v>311</v>
      </c>
      <c r="AN31" s="37" t="s">
        <v>311</v>
      </c>
      <c r="AO31" s="37" t="s">
        <v>311</v>
      </c>
      <c r="AP31" s="37" t="s">
        <v>311</v>
      </c>
      <c r="AQ31" s="37" t="s">
        <v>311</v>
      </c>
      <c r="AR31" s="37" t="s">
        <v>311</v>
      </c>
      <c r="AS31" s="37" t="s">
        <v>202</v>
      </c>
      <c r="AT31" s="37" t="s">
        <v>311</v>
      </c>
      <c r="AU31" s="37" t="s">
        <v>311</v>
      </c>
      <c r="AV31" s="37" t="s">
        <v>311</v>
      </c>
      <c r="AW31" s="37" t="s">
        <v>312</v>
      </c>
      <c r="AX31" s="37" t="s">
        <v>97</v>
      </c>
      <c r="AY31" s="37" t="s">
        <v>505</v>
      </c>
      <c r="AZ31" s="37" t="s">
        <v>108</v>
      </c>
      <c r="BA31" s="37" t="s">
        <v>8</v>
      </c>
      <c r="BB31" s="37" t="s">
        <v>109</v>
      </c>
      <c r="BC31" s="38" t="s">
        <v>506</v>
      </c>
    </row>
    <row r="32" spans="1:55" ht="62.1" customHeight="1">
      <c r="A32" s="36" t="s">
        <v>507</v>
      </c>
      <c r="B32" s="37" t="s">
        <v>508</v>
      </c>
      <c r="C32" s="37" t="s">
        <v>509</v>
      </c>
      <c r="D32" s="37" t="s">
        <v>296</v>
      </c>
      <c r="E32" s="37" t="s">
        <v>122</v>
      </c>
      <c r="F32" s="37" t="s">
        <v>510</v>
      </c>
      <c r="G32" s="37" t="s">
        <v>122</v>
      </c>
      <c r="H32" s="37" t="s">
        <v>83</v>
      </c>
      <c r="I32" s="37" t="s">
        <v>132</v>
      </c>
      <c r="J32" s="37" t="s">
        <v>91</v>
      </c>
      <c r="K32" s="37" t="s">
        <v>91</v>
      </c>
      <c r="L32" s="37" t="s">
        <v>91</v>
      </c>
      <c r="M32" s="37" t="s">
        <v>511</v>
      </c>
      <c r="N32" s="37" t="s">
        <v>97</v>
      </c>
      <c r="O32" s="37" t="s">
        <v>91</v>
      </c>
      <c r="P32" s="37" t="s">
        <v>91</v>
      </c>
      <c r="Q32" s="37" t="s">
        <v>512</v>
      </c>
      <c r="R32" s="37" t="s">
        <v>513</v>
      </c>
      <c r="S32" s="37" t="s">
        <v>91</v>
      </c>
      <c r="T32" s="37" t="s">
        <v>91</v>
      </c>
      <c r="U32" s="37" t="s">
        <v>514</v>
      </c>
      <c r="V32" s="37" t="s">
        <v>301</v>
      </c>
      <c r="W32" s="37" t="s">
        <v>301</v>
      </c>
      <c r="X32" s="37" t="s">
        <v>301</v>
      </c>
      <c r="Y32" s="37" t="s">
        <v>302</v>
      </c>
      <c r="Z32" s="37" t="s">
        <v>303</v>
      </c>
      <c r="AA32" s="37" t="s">
        <v>303</v>
      </c>
      <c r="AB32" s="37" t="s">
        <v>304</v>
      </c>
      <c r="AC32" s="37" t="s">
        <v>91</v>
      </c>
      <c r="AD32" s="37">
        <v>120</v>
      </c>
      <c r="AE32" s="37" t="s">
        <v>515</v>
      </c>
      <c r="AF32" s="37" t="s">
        <v>516</v>
      </c>
      <c r="AG32" s="37" t="s">
        <v>122</v>
      </c>
      <c r="AH32" s="37" t="s">
        <v>517</v>
      </c>
      <c r="AI32" s="37" t="s">
        <v>307</v>
      </c>
      <c r="AJ32" s="37" t="s">
        <v>518</v>
      </c>
      <c r="AK32" s="37" t="s">
        <v>309</v>
      </c>
      <c r="AL32" s="37" t="s">
        <v>519</v>
      </c>
      <c r="AM32" s="37" t="s">
        <v>311</v>
      </c>
      <c r="AN32" s="37" t="s">
        <v>311</v>
      </c>
      <c r="AO32" s="37" t="s">
        <v>311</v>
      </c>
      <c r="AP32" s="37" t="s">
        <v>311</v>
      </c>
      <c r="AQ32" s="37" t="s">
        <v>311</v>
      </c>
      <c r="AR32" s="37" t="s">
        <v>311</v>
      </c>
      <c r="AS32" s="37" t="s">
        <v>105</v>
      </c>
      <c r="AT32" s="37" t="s">
        <v>311</v>
      </c>
      <c r="AU32" s="37" t="s">
        <v>311</v>
      </c>
      <c r="AV32" s="37" t="s">
        <v>470</v>
      </c>
      <c r="AW32" s="37" t="s">
        <v>312</v>
      </c>
      <c r="AX32" s="37" t="s">
        <v>97</v>
      </c>
      <c r="AY32" s="37" t="s">
        <v>505</v>
      </c>
      <c r="AZ32" s="37" t="s">
        <v>108</v>
      </c>
      <c r="BA32" s="37" t="s">
        <v>8</v>
      </c>
      <c r="BB32" s="37" t="s">
        <v>109</v>
      </c>
      <c r="BC32" s="38" t="s">
        <v>520</v>
      </c>
    </row>
    <row r="33" spans="1:55" ht="62.1" hidden="1" customHeight="1">
      <c r="A33" s="36" t="s">
        <v>521</v>
      </c>
      <c r="B33" s="37" t="s">
        <v>522</v>
      </c>
      <c r="C33" s="37" t="s">
        <v>523</v>
      </c>
      <c r="D33" s="37" t="s">
        <v>296</v>
      </c>
      <c r="E33" s="37" t="s">
        <v>461</v>
      </c>
      <c r="F33" s="37" t="s">
        <v>524</v>
      </c>
      <c r="G33" s="37" t="s">
        <v>462</v>
      </c>
      <c r="H33" s="37" t="s">
        <v>221</v>
      </c>
      <c r="I33" s="37" t="s">
        <v>84</v>
      </c>
      <c r="J33" s="37" t="s">
        <v>91</v>
      </c>
      <c r="K33" s="37" t="s">
        <v>91</v>
      </c>
      <c r="L33" s="37" t="s">
        <v>91</v>
      </c>
      <c r="M33" s="37" t="s">
        <v>525</v>
      </c>
      <c r="N33" s="37" t="s">
        <v>97</v>
      </c>
      <c r="O33" s="37" t="s">
        <v>91</v>
      </c>
      <c r="P33" s="37" t="s">
        <v>91</v>
      </c>
      <c r="Q33" s="37" t="s">
        <v>526</v>
      </c>
      <c r="R33" s="37" t="s">
        <v>527</v>
      </c>
      <c r="S33" s="37" t="s">
        <v>91</v>
      </c>
      <c r="T33" s="37" t="s">
        <v>91</v>
      </c>
      <c r="U33" s="37" t="s">
        <v>528</v>
      </c>
      <c r="V33" s="37" t="s">
        <v>301</v>
      </c>
      <c r="W33" s="37" t="s">
        <v>303</v>
      </c>
      <c r="X33" s="37" t="s">
        <v>303</v>
      </c>
      <c r="Y33" s="37" t="s">
        <v>302</v>
      </c>
      <c r="Z33" s="37" t="s">
        <v>301</v>
      </c>
      <c r="AA33" s="37" t="s">
        <v>301</v>
      </c>
      <c r="AB33" s="37" t="s">
        <v>304</v>
      </c>
      <c r="AC33" s="37" t="s">
        <v>91</v>
      </c>
      <c r="AD33" s="37" t="s">
        <v>169</v>
      </c>
      <c r="AE33" s="37" t="s">
        <v>91</v>
      </c>
      <c r="AF33" s="37" t="s">
        <v>233</v>
      </c>
      <c r="AG33" s="37" t="s">
        <v>233</v>
      </c>
      <c r="AH33" s="37" t="s">
        <v>529</v>
      </c>
      <c r="AI33" s="37" t="s">
        <v>307</v>
      </c>
      <c r="AJ33" s="37" t="s">
        <v>530</v>
      </c>
      <c r="AK33" s="37" t="s">
        <v>309</v>
      </c>
      <c r="AL33" s="37" t="s">
        <v>531</v>
      </c>
      <c r="AM33" s="37" t="s">
        <v>311</v>
      </c>
      <c r="AN33" s="37" t="s">
        <v>311</v>
      </c>
      <c r="AO33" s="37" t="s">
        <v>311</v>
      </c>
      <c r="AP33" s="37" t="s">
        <v>311</v>
      </c>
      <c r="AQ33" s="37" t="s">
        <v>311</v>
      </c>
      <c r="AR33" s="37" t="s">
        <v>311</v>
      </c>
      <c r="AS33" s="37" t="s">
        <v>202</v>
      </c>
      <c r="AT33" s="37" t="s">
        <v>311</v>
      </c>
      <c r="AU33" s="37" t="s">
        <v>311</v>
      </c>
      <c r="AV33" s="37" t="s">
        <v>311</v>
      </c>
      <c r="AW33" s="37" t="s">
        <v>312</v>
      </c>
      <c r="AX33" s="37" t="s">
        <v>97</v>
      </c>
      <c r="AY33" s="37" t="s">
        <v>505</v>
      </c>
      <c r="AZ33" s="37" t="s">
        <v>108</v>
      </c>
      <c r="BA33" s="37" t="s">
        <v>203</v>
      </c>
      <c r="BB33" s="37" t="s">
        <v>109</v>
      </c>
      <c r="BC33" s="38" t="s">
        <v>471</v>
      </c>
    </row>
    <row r="34" spans="1:55" ht="62.1" customHeight="1">
      <c r="A34" s="36" t="s">
        <v>532</v>
      </c>
      <c r="B34" s="37" t="s">
        <v>533</v>
      </c>
      <c r="C34" s="37" t="s">
        <v>534</v>
      </c>
      <c r="D34" s="37" t="s">
        <v>296</v>
      </c>
      <c r="E34" s="37" t="s">
        <v>207</v>
      </c>
      <c r="F34" s="37" t="s">
        <v>535</v>
      </c>
      <c r="G34" s="37" t="s">
        <v>209</v>
      </c>
      <c r="H34" s="37" t="s">
        <v>221</v>
      </c>
      <c r="I34" s="37" t="s">
        <v>164</v>
      </c>
      <c r="J34" s="37" t="s">
        <v>91</v>
      </c>
      <c r="K34" s="37" t="s">
        <v>91</v>
      </c>
      <c r="L34" s="37" t="s">
        <v>91</v>
      </c>
      <c r="M34" s="37" t="s">
        <v>536</v>
      </c>
      <c r="N34" s="37" t="s">
        <v>97</v>
      </c>
      <c r="O34" s="37" t="s">
        <v>91</v>
      </c>
      <c r="P34" s="37" t="s">
        <v>91</v>
      </c>
      <c r="Q34" s="37" t="s">
        <v>537</v>
      </c>
      <c r="R34" s="37" t="s">
        <v>538</v>
      </c>
      <c r="S34" s="37" t="s">
        <v>91</v>
      </c>
      <c r="T34" s="37" t="s">
        <v>91</v>
      </c>
      <c r="U34" s="37" t="s">
        <v>539</v>
      </c>
      <c r="V34" s="37" t="s">
        <v>301</v>
      </c>
      <c r="W34" s="37" t="s">
        <v>303</v>
      </c>
      <c r="X34" s="37" t="s">
        <v>301</v>
      </c>
      <c r="Y34" s="37" t="s">
        <v>302</v>
      </c>
      <c r="Z34" s="37" t="s">
        <v>301</v>
      </c>
      <c r="AA34" s="37" t="s">
        <v>303</v>
      </c>
      <c r="AB34" s="37" t="s">
        <v>304</v>
      </c>
      <c r="AC34" s="37" t="s">
        <v>91</v>
      </c>
      <c r="AD34" s="37" t="s">
        <v>169</v>
      </c>
      <c r="AE34" s="37" t="s">
        <v>91</v>
      </c>
      <c r="AF34" s="37" t="s">
        <v>540</v>
      </c>
      <c r="AG34" s="37" t="s">
        <v>209</v>
      </c>
      <c r="AH34" s="37" t="s">
        <v>541</v>
      </c>
      <c r="AI34" s="37" t="s">
        <v>307</v>
      </c>
      <c r="AJ34" s="37" t="s">
        <v>542</v>
      </c>
      <c r="AK34" s="37" t="s">
        <v>309</v>
      </c>
      <c r="AL34" s="37" t="s">
        <v>543</v>
      </c>
      <c r="AM34" s="37" t="s">
        <v>311</v>
      </c>
      <c r="AN34" s="37" t="s">
        <v>311</v>
      </c>
      <c r="AO34" s="37" t="s">
        <v>311</v>
      </c>
      <c r="AP34" s="37" t="s">
        <v>311</v>
      </c>
      <c r="AQ34" s="37" t="s">
        <v>311</v>
      </c>
      <c r="AR34" s="37" t="s">
        <v>311</v>
      </c>
      <c r="AS34" s="37" t="s">
        <v>202</v>
      </c>
      <c r="AT34" s="37" t="s">
        <v>311</v>
      </c>
      <c r="AU34" s="37" t="s">
        <v>311</v>
      </c>
      <c r="AV34" s="37" t="s">
        <v>311</v>
      </c>
      <c r="AW34" s="37" t="s">
        <v>312</v>
      </c>
      <c r="AX34" s="37" t="s">
        <v>97</v>
      </c>
      <c r="AY34" s="37" t="s">
        <v>505</v>
      </c>
      <c r="AZ34" s="37" t="s">
        <v>108</v>
      </c>
      <c r="BA34" s="37" t="s">
        <v>8</v>
      </c>
      <c r="BB34" s="37" t="s">
        <v>109</v>
      </c>
      <c r="BC34" s="38" t="s">
        <v>544</v>
      </c>
    </row>
    <row r="35" spans="1:55" ht="62.1" customHeight="1">
      <c r="A35" s="36" t="s">
        <v>545</v>
      </c>
      <c r="B35" s="37" t="s">
        <v>546</v>
      </c>
      <c r="C35" s="37" t="s">
        <v>547</v>
      </c>
      <c r="D35" s="37" t="s">
        <v>296</v>
      </c>
      <c r="E35" s="37" t="s">
        <v>423</v>
      </c>
      <c r="F35" s="37" t="s">
        <v>548</v>
      </c>
      <c r="G35" s="37" t="s">
        <v>423</v>
      </c>
      <c r="H35" s="37" t="s">
        <v>83</v>
      </c>
      <c r="I35" s="37" t="s">
        <v>132</v>
      </c>
      <c r="J35" s="37" t="s">
        <v>91</v>
      </c>
      <c r="K35" s="37" t="s">
        <v>91</v>
      </c>
      <c r="L35" s="37" t="s">
        <v>91</v>
      </c>
      <c r="M35" s="37" t="s">
        <v>536</v>
      </c>
      <c r="N35" s="37" t="s">
        <v>97</v>
      </c>
      <c r="O35" s="37" t="s">
        <v>91</v>
      </c>
      <c r="P35" s="37" t="s">
        <v>91</v>
      </c>
      <c r="Q35" s="37" t="s">
        <v>549</v>
      </c>
      <c r="R35" s="37" t="s">
        <v>550</v>
      </c>
      <c r="S35" s="37" t="s">
        <v>91</v>
      </c>
      <c r="T35" s="37" t="s">
        <v>91</v>
      </c>
      <c r="U35" s="37" t="s">
        <v>427</v>
      </c>
      <c r="V35" s="37" t="s">
        <v>301</v>
      </c>
      <c r="W35" s="37" t="s">
        <v>303</v>
      </c>
      <c r="X35" s="39" t="s">
        <v>89</v>
      </c>
      <c r="Y35" s="37" t="s">
        <v>302</v>
      </c>
      <c r="Z35" s="37" t="s">
        <v>303</v>
      </c>
      <c r="AA35" s="37" t="s">
        <v>303</v>
      </c>
      <c r="AB35" s="37" t="s">
        <v>304</v>
      </c>
      <c r="AC35" s="37" t="s">
        <v>91</v>
      </c>
      <c r="AD35" s="37" t="s">
        <v>169</v>
      </c>
      <c r="AE35" s="37" t="s">
        <v>91</v>
      </c>
      <c r="AF35" s="37" t="s">
        <v>428</v>
      </c>
      <c r="AG35" s="37" t="s">
        <v>423</v>
      </c>
      <c r="AH35" s="37" t="s">
        <v>551</v>
      </c>
      <c r="AI35" s="37" t="s">
        <v>307</v>
      </c>
      <c r="AJ35" s="37" t="s">
        <v>552</v>
      </c>
      <c r="AK35" s="37" t="s">
        <v>309</v>
      </c>
      <c r="AL35" s="37" t="s">
        <v>553</v>
      </c>
      <c r="AM35" s="37" t="s">
        <v>311</v>
      </c>
      <c r="AN35" s="37" t="s">
        <v>311</v>
      </c>
      <c r="AO35" s="37" t="s">
        <v>311</v>
      </c>
      <c r="AP35" s="37" t="s">
        <v>311</v>
      </c>
      <c r="AQ35" s="37" t="s">
        <v>311</v>
      </c>
      <c r="AR35" s="37" t="s">
        <v>311</v>
      </c>
      <c r="AS35" s="37" t="s">
        <v>105</v>
      </c>
      <c r="AT35" s="37" t="s">
        <v>311</v>
      </c>
      <c r="AU35" s="37" t="s">
        <v>311</v>
      </c>
      <c r="AV35" s="37" t="s">
        <v>311</v>
      </c>
      <c r="AW35" s="37" t="s">
        <v>312</v>
      </c>
      <c r="AX35" s="37" t="s">
        <v>97</v>
      </c>
      <c r="AY35" s="37" t="s">
        <v>505</v>
      </c>
      <c r="AZ35" s="37" t="s">
        <v>108</v>
      </c>
      <c r="BA35" s="37" t="s">
        <v>8</v>
      </c>
      <c r="BB35" s="37" t="s">
        <v>109</v>
      </c>
      <c r="BC35" s="38" t="s">
        <v>432</v>
      </c>
    </row>
    <row r="36" spans="1:55" ht="62.1" customHeight="1">
      <c r="A36" s="36" t="s">
        <v>554</v>
      </c>
      <c r="B36" s="37" t="s">
        <v>555</v>
      </c>
      <c r="C36" s="37" t="s">
        <v>556</v>
      </c>
      <c r="D36" s="37" t="s">
        <v>296</v>
      </c>
      <c r="E36" s="37" t="s">
        <v>207</v>
      </c>
      <c r="F36" s="37" t="s">
        <v>557</v>
      </c>
      <c r="G36" s="37" t="s">
        <v>558</v>
      </c>
      <c r="H36" s="37" t="s">
        <v>221</v>
      </c>
      <c r="I36" s="37" t="s">
        <v>360</v>
      </c>
      <c r="J36" s="37" t="s">
        <v>91</v>
      </c>
      <c r="K36" s="37" t="s">
        <v>91</v>
      </c>
      <c r="L36" s="37" t="s">
        <v>91</v>
      </c>
      <c r="M36" s="37" t="s">
        <v>559</v>
      </c>
      <c r="N36" s="37" t="s">
        <v>97</v>
      </c>
      <c r="O36" s="37" t="s">
        <v>91</v>
      </c>
      <c r="P36" s="37" t="s">
        <v>91</v>
      </c>
      <c r="Q36" s="37" t="s">
        <v>560</v>
      </c>
      <c r="R36" s="37" t="s">
        <v>561</v>
      </c>
      <c r="S36" s="37" t="s">
        <v>91</v>
      </c>
      <c r="T36" s="37" t="s">
        <v>91</v>
      </c>
      <c r="U36" s="37" t="s">
        <v>562</v>
      </c>
      <c r="V36" s="37" t="s">
        <v>301</v>
      </c>
      <c r="W36" s="37" t="s">
        <v>301</v>
      </c>
      <c r="X36" s="37" t="s">
        <v>301</v>
      </c>
      <c r="Y36" s="37" t="s">
        <v>302</v>
      </c>
      <c r="Z36" s="37" t="s">
        <v>301</v>
      </c>
      <c r="AA36" s="37" t="s">
        <v>303</v>
      </c>
      <c r="AB36" s="37" t="s">
        <v>304</v>
      </c>
      <c r="AC36" s="37" t="s">
        <v>91</v>
      </c>
      <c r="AD36" s="37" t="s">
        <v>169</v>
      </c>
      <c r="AE36" s="37" t="s">
        <v>563</v>
      </c>
      <c r="AF36" s="37" t="s">
        <v>564</v>
      </c>
      <c r="AG36" s="37" t="s">
        <v>162</v>
      </c>
      <c r="AH36" s="37" t="s">
        <v>565</v>
      </c>
      <c r="AI36" s="37" t="s">
        <v>307</v>
      </c>
      <c r="AJ36" s="37" t="s">
        <v>566</v>
      </c>
      <c r="AK36" s="37" t="s">
        <v>309</v>
      </c>
      <c r="AL36" s="37" t="s">
        <v>567</v>
      </c>
      <c r="AM36" s="37" t="s">
        <v>311</v>
      </c>
      <c r="AN36" s="37" t="s">
        <v>311</v>
      </c>
      <c r="AO36" s="37" t="s">
        <v>311</v>
      </c>
      <c r="AP36" s="37" t="s">
        <v>311</v>
      </c>
      <c r="AQ36" s="37" t="s">
        <v>311</v>
      </c>
      <c r="AR36" s="37" t="s">
        <v>311</v>
      </c>
      <c r="AS36" s="37" t="s">
        <v>202</v>
      </c>
      <c r="AT36" s="37" t="s">
        <v>311</v>
      </c>
      <c r="AU36" s="37" t="s">
        <v>311</v>
      </c>
      <c r="AV36" s="37" t="s">
        <v>311</v>
      </c>
      <c r="AW36" s="37" t="s">
        <v>312</v>
      </c>
      <c r="AX36" s="37" t="s">
        <v>97</v>
      </c>
      <c r="AY36" s="37" t="s">
        <v>568</v>
      </c>
      <c r="AZ36" s="37" t="s">
        <v>108</v>
      </c>
      <c r="BA36" s="37" t="s">
        <v>8</v>
      </c>
      <c r="BB36" s="37" t="s">
        <v>109</v>
      </c>
      <c r="BC36" s="38" t="s">
        <v>544</v>
      </c>
    </row>
    <row r="37" spans="1:55" ht="62.1" customHeight="1">
      <c r="A37" s="36" t="s">
        <v>569</v>
      </c>
      <c r="B37" s="37" t="s">
        <v>570</v>
      </c>
      <c r="C37" s="37" t="s">
        <v>571</v>
      </c>
      <c r="D37" s="37" t="s">
        <v>296</v>
      </c>
      <c r="E37" s="37" t="s">
        <v>357</v>
      </c>
      <c r="F37" s="37" t="s">
        <v>572</v>
      </c>
      <c r="G37" s="37" t="s">
        <v>359</v>
      </c>
      <c r="H37" s="37" t="s">
        <v>195</v>
      </c>
      <c r="I37" s="37" t="s">
        <v>132</v>
      </c>
      <c r="J37" s="37" t="s">
        <v>91</v>
      </c>
      <c r="K37" s="37" t="s">
        <v>91</v>
      </c>
      <c r="L37" s="37" t="s">
        <v>91</v>
      </c>
      <c r="M37" s="37" t="s">
        <v>573</v>
      </c>
      <c r="N37" s="37" t="s">
        <v>97</v>
      </c>
      <c r="O37" s="37" t="s">
        <v>91</v>
      </c>
      <c r="P37" s="37" t="s">
        <v>91</v>
      </c>
      <c r="Q37" s="37" t="s">
        <v>574</v>
      </c>
      <c r="R37" s="37" t="s">
        <v>575</v>
      </c>
      <c r="S37" s="37" t="s">
        <v>91</v>
      </c>
      <c r="T37" s="37" t="s">
        <v>91</v>
      </c>
      <c r="U37" s="37" t="s">
        <v>576</v>
      </c>
      <c r="V37" s="37" t="s">
        <v>301</v>
      </c>
      <c r="W37" s="37" t="s">
        <v>303</v>
      </c>
      <c r="X37" s="37" t="s">
        <v>301</v>
      </c>
      <c r="Y37" s="37" t="s">
        <v>302</v>
      </c>
      <c r="Z37" s="37" t="s">
        <v>303</v>
      </c>
      <c r="AA37" s="37" t="s">
        <v>303</v>
      </c>
      <c r="AB37" s="37" t="s">
        <v>304</v>
      </c>
      <c r="AC37" s="37" t="s">
        <v>91</v>
      </c>
      <c r="AD37" s="37" t="s">
        <v>169</v>
      </c>
      <c r="AE37" s="37" t="s">
        <v>91</v>
      </c>
      <c r="AF37" s="37" t="s">
        <v>365</v>
      </c>
      <c r="AG37" s="37" t="s">
        <v>359</v>
      </c>
      <c r="AH37" s="37" t="s">
        <v>577</v>
      </c>
      <c r="AI37" s="37" t="s">
        <v>307</v>
      </c>
      <c r="AJ37" s="37" t="s">
        <v>578</v>
      </c>
      <c r="AK37" s="37" t="s">
        <v>309</v>
      </c>
      <c r="AL37" s="37" t="s">
        <v>579</v>
      </c>
      <c r="AM37" s="37" t="s">
        <v>311</v>
      </c>
      <c r="AN37" s="37" t="s">
        <v>311</v>
      </c>
      <c r="AO37" s="37" t="s">
        <v>311</v>
      </c>
      <c r="AP37" s="37" t="s">
        <v>311</v>
      </c>
      <c r="AQ37" s="37" t="s">
        <v>311</v>
      </c>
      <c r="AR37" s="37" t="s">
        <v>311</v>
      </c>
      <c r="AS37" s="37" t="s">
        <v>202</v>
      </c>
      <c r="AT37" s="37" t="s">
        <v>311</v>
      </c>
      <c r="AU37" s="37" t="s">
        <v>311</v>
      </c>
      <c r="AV37" s="37" t="s">
        <v>311</v>
      </c>
      <c r="AW37" s="39" t="s">
        <v>312</v>
      </c>
      <c r="AX37" s="37" t="s">
        <v>97</v>
      </c>
      <c r="AY37" s="37" t="s">
        <v>580</v>
      </c>
      <c r="AZ37" s="37" t="s">
        <v>108</v>
      </c>
      <c r="BA37" s="37" t="s">
        <v>8</v>
      </c>
      <c r="BB37" s="37" t="s">
        <v>109</v>
      </c>
      <c r="BC37" s="38" t="s">
        <v>370</v>
      </c>
    </row>
    <row r="38" spans="1:55" ht="62.1" hidden="1" customHeight="1">
      <c r="A38" s="36"/>
      <c r="B38" s="39" t="s">
        <v>644</v>
      </c>
      <c r="C38" s="39" t="s">
        <v>645</v>
      </c>
      <c r="D38" s="37" t="s">
        <v>296</v>
      </c>
      <c r="E38" s="37" t="s">
        <v>122</v>
      </c>
      <c r="F38" s="39" t="s">
        <v>646</v>
      </c>
      <c r="G38" s="37" t="s">
        <v>122</v>
      </c>
      <c r="H38" s="39" t="s">
        <v>83</v>
      </c>
      <c r="I38" s="37" t="s">
        <v>84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8"/>
    </row>
    <row r="39" spans="1:55" ht="62.1" hidden="1" customHeight="1">
      <c r="A39" s="36"/>
      <c r="B39" s="39" t="s">
        <v>651</v>
      </c>
      <c r="C39" s="39" t="s">
        <v>652</v>
      </c>
      <c r="D39" s="37" t="s">
        <v>296</v>
      </c>
      <c r="E39" s="37" t="s">
        <v>178</v>
      </c>
      <c r="F39" s="39" t="s">
        <v>653</v>
      </c>
      <c r="G39" s="37" t="s">
        <v>180</v>
      </c>
      <c r="H39" s="39" t="s">
        <v>221</v>
      </c>
      <c r="I39" s="37" t="s">
        <v>84</v>
      </c>
      <c r="J39" s="39" t="s">
        <v>85</v>
      </c>
      <c r="K39" s="39"/>
      <c r="L39" s="37"/>
      <c r="M39" s="39" t="s">
        <v>654</v>
      </c>
      <c r="N39" s="39" t="s">
        <v>97</v>
      </c>
      <c r="O39" s="37" t="s">
        <v>91</v>
      </c>
      <c r="P39" s="37" t="s">
        <v>91</v>
      </c>
      <c r="Q39" s="37" t="s">
        <v>183</v>
      </c>
      <c r="R39" s="37" t="s">
        <v>184</v>
      </c>
      <c r="S39" s="37" t="s">
        <v>91</v>
      </c>
      <c r="T39" s="37" t="s">
        <v>185</v>
      </c>
      <c r="U39" s="39" t="s">
        <v>655</v>
      </c>
      <c r="V39" s="37" t="s">
        <v>89</v>
      </c>
      <c r="W39" s="37" t="s">
        <v>97</v>
      </c>
      <c r="X39" s="39" t="s">
        <v>89</v>
      </c>
      <c r="Y39" s="37" t="s">
        <v>97</v>
      </c>
      <c r="Z39" s="37" t="s">
        <v>89</v>
      </c>
      <c r="AA39" s="39" t="s">
        <v>97</v>
      </c>
      <c r="AB39" s="37" t="s">
        <v>97</v>
      </c>
      <c r="AC39" s="37" t="s">
        <v>91</v>
      </c>
      <c r="AD39" s="37" t="s">
        <v>169</v>
      </c>
      <c r="AE39" s="37" t="s">
        <v>91</v>
      </c>
      <c r="AF39" s="37" t="s">
        <v>91</v>
      </c>
      <c r="AG39" s="37" t="s">
        <v>180</v>
      </c>
      <c r="AH39" s="37" t="s">
        <v>91</v>
      </c>
      <c r="AI39" s="37"/>
      <c r="AJ39" s="39" t="s">
        <v>656</v>
      </c>
      <c r="AK39" s="37" t="s">
        <v>187</v>
      </c>
      <c r="AL39" s="37" t="s">
        <v>188</v>
      </c>
      <c r="AM39" s="37">
        <v>1</v>
      </c>
      <c r="AN39" s="37">
        <v>1</v>
      </c>
      <c r="AO39" s="37">
        <v>10</v>
      </c>
      <c r="AP39" s="37">
        <v>0</v>
      </c>
      <c r="AQ39" s="37">
        <v>12</v>
      </c>
      <c r="AR39" s="37">
        <v>2.2000000000000002</v>
      </c>
      <c r="AS39" s="37" t="s">
        <v>202</v>
      </c>
      <c r="AT39" s="37">
        <v>0</v>
      </c>
      <c r="AU39" s="37">
        <v>0</v>
      </c>
      <c r="AV39" s="37">
        <v>0</v>
      </c>
      <c r="AW39" s="39" t="s">
        <v>312</v>
      </c>
      <c r="AX39" s="37" t="s">
        <v>89</v>
      </c>
      <c r="AY39" s="37"/>
      <c r="AZ39" s="37" t="s">
        <v>189</v>
      </c>
      <c r="BA39" s="37" t="s">
        <v>190</v>
      </c>
      <c r="BB39" s="37" t="s">
        <v>648</v>
      </c>
      <c r="BC39" s="40" t="s">
        <v>657</v>
      </c>
    </row>
    <row r="40" spans="1:55" ht="62.1" hidden="1" customHeight="1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8"/>
    </row>
  </sheetData>
  <conditionalFormatting sqref="AY2:AY40">
    <cfRule type="containsText" dxfId="3" priority="4" operator="containsText" text="Mixte"/>
  </conditionalFormatting>
  <conditionalFormatting sqref="BB2:BB40">
    <cfRule type="containsText" dxfId="2" priority="1" operator="containsText" text="Validé"/>
    <cfRule type="containsText" dxfId="1" priority="2" operator="containsText" text="À corriger"/>
    <cfRule type="containsText" dxfId="0" priority="3" operator="containsText" text="À valider"/>
  </conditionalFormatting>
  <dataValidations count="2">
    <dataValidation type="list" sqref="BB2:BB40" xr:uid="{00000000-0002-0000-0100-000000000000}">
      <formula1>"À valider,Validé,À corriger,Refusé,À discuter"</formula1>
    </dataValidation>
    <dataValidation type="list" sqref="BA2:BA40" xr:uid="{00000000-0002-0000-0100-000001000000}">
      <formula1>"P1,P2,P3"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5"/>
  <sheetViews>
    <sheetView showGridLines="0" workbookViewId="0"/>
  </sheetViews>
  <sheetFormatPr baseColWidth="10" defaultColWidth="9" defaultRowHeight="14.25"/>
  <cols>
    <col min="1" max="1" width="20" customWidth="1"/>
    <col min="2" max="2" width="22" customWidth="1"/>
    <col min="3" max="3" width="70" customWidth="1"/>
    <col min="4" max="4" width="42" customWidth="1"/>
  </cols>
  <sheetData>
    <row r="1" spans="1:4" ht="30" customHeight="1">
      <c r="A1" s="11" t="s">
        <v>581</v>
      </c>
      <c r="B1" s="12" t="s">
        <v>582</v>
      </c>
      <c r="C1" s="12" t="s">
        <v>583</v>
      </c>
      <c r="D1" s="13" t="s">
        <v>584</v>
      </c>
    </row>
    <row r="2" spans="1:4" ht="27.95" customHeight="1">
      <c r="A2" s="14" t="s">
        <v>78</v>
      </c>
      <c r="B2" s="15" t="s">
        <v>585</v>
      </c>
      <c r="C2" s="15" t="s">
        <v>586</v>
      </c>
      <c r="D2" s="16" t="s">
        <v>587</v>
      </c>
    </row>
    <row r="3" spans="1:4" ht="27.95" customHeight="1">
      <c r="A3" s="14" t="s">
        <v>78</v>
      </c>
      <c r="B3" s="15" t="s">
        <v>588</v>
      </c>
      <c r="C3" s="15" t="s">
        <v>86</v>
      </c>
      <c r="D3" s="16" t="s">
        <v>589</v>
      </c>
    </row>
    <row r="4" spans="1:4" ht="27.95" customHeight="1">
      <c r="A4" s="14" t="s">
        <v>78</v>
      </c>
      <c r="B4" s="15" t="s">
        <v>590</v>
      </c>
      <c r="C4" s="15" t="s">
        <v>87</v>
      </c>
      <c r="D4" s="16" t="s">
        <v>591</v>
      </c>
    </row>
    <row r="5" spans="1:4" ht="27.95" customHeight="1">
      <c r="A5" s="14" t="s">
        <v>78</v>
      </c>
      <c r="B5" s="15" t="s">
        <v>592</v>
      </c>
      <c r="C5" s="15" t="s">
        <v>90</v>
      </c>
      <c r="D5" s="16" t="s">
        <v>593</v>
      </c>
    </row>
    <row r="6" spans="1:4" ht="27.95" customHeight="1">
      <c r="A6" s="14" t="s">
        <v>78</v>
      </c>
      <c r="B6" s="15" t="s">
        <v>594</v>
      </c>
      <c r="C6" s="15" t="s">
        <v>91</v>
      </c>
      <c r="D6" s="16" t="s">
        <v>595</v>
      </c>
    </row>
    <row r="7" spans="1:4" ht="27.95" customHeight="1">
      <c r="A7" s="14" t="s">
        <v>111</v>
      </c>
      <c r="B7" s="15" t="s">
        <v>585</v>
      </c>
      <c r="C7" s="15" t="s">
        <v>115</v>
      </c>
      <c r="D7" s="16" t="s">
        <v>587</v>
      </c>
    </row>
    <row r="8" spans="1:4" ht="27.95" customHeight="1">
      <c r="A8" s="14" t="s">
        <v>111</v>
      </c>
      <c r="B8" s="15" t="s">
        <v>588</v>
      </c>
      <c r="C8" s="15" t="s">
        <v>116</v>
      </c>
      <c r="D8" s="16" t="s">
        <v>589</v>
      </c>
    </row>
    <row r="9" spans="1:4" ht="27.95" customHeight="1">
      <c r="A9" s="14" t="s">
        <v>111</v>
      </c>
      <c r="B9" s="15" t="s">
        <v>590</v>
      </c>
      <c r="C9" s="15" t="s">
        <v>87</v>
      </c>
      <c r="D9" s="16" t="s">
        <v>591</v>
      </c>
    </row>
    <row r="10" spans="1:4" ht="27.95" customHeight="1">
      <c r="A10" s="14" t="s">
        <v>111</v>
      </c>
      <c r="B10" s="15" t="s">
        <v>592</v>
      </c>
      <c r="C10" s="15" t="s">
        <v>118</v>
      </c>
      <c r="D10" s="16" t="s">
        <v>593</v>
      </c>
    </row>
    <row r="11" spans="1:4" ht="27.95" customHeight="1">
      <c r="A11" s="14" t="s">
        <v>111</v>
      </c>
      <c r="B11" s="15" t="s">
        <v>594</v>
      </c>
      <c r="C11" s="15" t="s">
        <v>91</v>
      </c>
      <c r="D11" s="16" t="s">
        <v>595</v>
      </c>
    </row>
    <row r="12" spans="1:4" ht="27.95" customHeight="1">
      <c r="A12" s="14" t="s">
        <v>18</v>
      </c>
      <c r="B12" s="15" t="s">
        <v>585</v>
      </c>
      <c r="C12" s="15" t="s">
        <v>133</v>
      </c>
      <c r="D12" s="16" t="s">
        <v>587</v>
      </c>
    </row>
    <row r="13" spans="1:4" ht="27.95" customHeight="1">
      <c r="A13" s="14" t="s">
        <v>18</v>
      </c>
      <c r="B13" s="15" t="s">
        <v>588</v>
      </c>
      <c r="C13" s="15" t="s">
        <v>134</v>
      </c>
      <c r="D13" s="16" t="s">
        <v>589</v>
      </c>
    </row>
    <row r="14" spans="1:4" ht="27.95" customHeight="1">
      <c r="A14" s="14" t="s">
        <v>18</v>
      </c>
      <c r="B14" s="15" t="s">
        <v>590</v>
      </c>
      <c r="C14" s="15" t="s">
        <v>135</v>
      </c>
      <c r="D14" s="16" t="s">
        <v>591</v>
      </c>
    </row>
    <row r="15" spans="1:4" ht="27.95" customHeight="1">
      <c r="A15" s="14" t="s">
        <v>18</v>
      </c>
      <c r="B15" s="15" t="s">
        <v>592</v>
      </c>
      <c r="C15" s="15" t="s">
        <v>91</v>
      </c>
      <c r="D15" s="16" t="s">
        <v>596</v>
      </c>
    </row>
    <row r="16" spans="1:4" ht="27.95" customHeight="1">
      <c r="A16" s="14" t="s">
        <v>18</v>
      </c>
      <c r="B16" s="15" t="s">
        <v>594</v>
      </c>
      <c r="C16" s="15" t="s">
        <v>91</v>
      </c>
      <c r="D16" s="16" t="s">
        <v>595</v>
      </c>
    </row>
    <row r="17" spans="1:4" ht="27.95" customHeight="1">
      <c r="A17" s="14" t="s">
        <v>15</v>
      </c>
      <c r="B17" s="15" t="s">
        <v>585</v>
      </c>
      <c r="C17" s="15" t="s">
        <v>149</v>
      </c>
      <c r="D17" s="16" t="s">
        <v>587</v>
      </c>
    </row>
    <row r="18" spans="1:4" ht="27.95" customHeight="1">
      <c r="A18" s="14" t="s">
        <v>15</v>
      </c>
      <c r="B18" s="15" t="s">
        <v>588</v>
      </c>
      <c r="C18" s="15" t="s">
        <v>150</v>
      </c>
      <c r="D18" s="16" t="s">
        <v>589</v>
      </c>
    </row>
    <row r="19" spans="1:4" ht="27.95" customHeight="1">
      <c r="A19" s="14" t="s">
        <v>15</v>
      </c>
      <c r="B19" s="15" t="s">
        <v>590</v>
      </c>
      <c r="C19" s="15" t="s">
        <v>151</v>
      </c>
      <c r="D19" s="16" t="s">
        <v>591</v>
      </c>
    </row>
    <row r="20" spans="1:4" ht="27.95" customHeight="1">
      <c r="A20" s="14" t="s">
        <v>15</v>
      </c>
      <c r="B20" s="15" t="s">
        <v>592</v>
      </c>
      <c r="C20" s="15" t="s">
        <v>91</v>
      </c>
      <c r="D20" s="16" t="s">
        <v>596</v>
      </c>
    </row>
    <row r="21" spans="1:4" ht="27.95" customHeight="1">
      <c r="A21" s="14" t="s">
        <v>15</v>
      </c>
      <c r="B21" s="15" t="s">
        <v>594</v>
      </c>
      <c r="C21" s="15" t="s">
        <v>91</v>
      </c>
      <c r="D21" s="16" t="s">
        <v>595</v>
      </c>
    </row>
    <row r="22" spans="1:4" ht="27.95" customHeight="1">
      <c r="A22" s="14" t="s">
        <v>9</v>
      </c>
      <c r="B22" s="15" t="s">
        <v>585</v>
      </c>
      <c r="C22" s="15" t="s">
        <v>165</v>
      </c>
      <c r="D22" s="16" t="s">
        <v>587</v>
      </c>
    </row>
    <row r="23" spans="1:4" ht="27.95" customHeight="1">
      <c r="A23" s="14" t="s">
        <v>9</v>
      </c>
      <c r="B23" s="15" t="s">
        <v>588</v>
      </c>
      <c r="C23" s="15" t="s">
        <v>165</v>
      </c>
      <c r="D23" s="16" t="s">
        <v>589</v>
      </c>
    </row>
    <row r="24" spans="1:4" ht="27.95" customHeight="1">
      <c r="A24" s="14" t="s">
        <v>9</v>
      </c>
      <c r="B24" s="15" t="s">
        <v>590</v>
      </c>
      <c r="C24" s="15" t="s">
        <v>91</v>
      </c>
      <c r="D24" s="16" t="s">
        <v>591</v>
      </c>
    </row>
    <row r="25" spans="1:4" ht="27.95" customHeight="1">
      <c r="A25" s="14" t="s">
        <v>9</v>
      </c>
      <c r="B25" s="15" t="s">
        <v>592</v>
      </c>
      <c r="C25" s="15" t="s">
        <v>91</v>
      </c>
      <c r="D25" s="16" t="s">
        <v>596</v>
      </c>
    </row>
    <row r="26" spans="1:4" ht="27.95" customHeight="1">
      <c r="A26" s="14" t="s">
        <v>9</v>
      </c>
      <c r="B26" s="15" t="s">
        <v>594</v>
      </c>
      <c r="C26" s="15" t="s">
        <v>91</v>
      </c>
      <c r="D26" s="16" t="s">
        <v>595</v>
      </c>
    </row>
    <row r="27" spans="1:4" ht="27.95" customHeight="1">
      <c r="A27" s="14" t="s">
        <v>176</v>
      </c>
      <c r="B27" s="15" t="s">
        <v>585</v>
      </c>
      <c r="C27" s="15" t="s">
        <v>586</v>
      </c>
      <c r="D27" s="16" t="s">
        <v>587</v>
      </c>
    </row>
    <row r="28" spans="1:4" ht="27.95" customHeight="1">
      <c r="A28" s="14" t="s">
        <v>176</v>
      </c>
      <c r="B28" s="15" t="s">
        <v>588</v>
      </c>
      <c r="C28" s="15" t="s">
        <v>181</v>
      </c>
      <c r="D28" s="16" t="s">
        <v>589</v>
      </c>
    </row>
    <row r="29" spans="1:4" ht="27.95" customHeight="1">
      <c r="A29" s="14" t="s">
        <v>176</v>
      </c>
      <c r="B29" s="15" t="s">
        <v>590</v>
      </c>
      <c r="C29" s="15" t="s">
        <v>87</v>
      </c>
      <c r="D29" s="16" t="s">
        <v>591</v>
      </c>
    </row>
    <row r="30" spans="1:4" ht="27.95" customHeight="1">
      <c r="A30" s="14" t="s">
        <v>176</v>
      </c>
      <c r="B30" s="15" t="s">
        <v>592</v>
      </c>
      <c r="C30" s="15" t="s">
        <v>90</v>
      </c>
      <c r="D30" s="16" t="s">
        <v>593</v>
      </c>
    </row>
    <row r="31" spans="1:4" ht="27.95" customHeight="1">
      <c r="A31" s="14" t="s">
        <v>176</v>
      </c>
      <c r="B31" s="15" t="s">
        <v>594</v>
      </c>
      <c r="C31" s="15" t="s">
        <v>182</v>
      </c>
      <c r="D31" s="16" t="s">
        <v>595</v>
      </c>
    </row>
    <row r="32" spans="1:4" ht="27.95" customHeight="1">
      <c r="A32" s="14" t="s">
        <v>192</v>
      </c>
      <c r="B32" s="15" t="s">
        <v>585</v>
      </c>
      <c r="C32" s="15" t="s">
        <v>196</v>
      </c>
      <c r="D32" s="16" t="s">
        <v>587</v>
      </c>
    </row>
    <row r="33" spans="1:4" ht="27.95" customHeight="1">
      <c r="A33" s="14" t="s">
        <v>192</v>
      </c>
      <c r="B33" s="15" t="s">
        <v>588</v>
      </c>
      <c r="C33" s="15" t="s">
        <v>116</v>
      </c>
      <c r="D33" s="16" t="s">
        <v>589</v>
      </c>
    </row>
    <row r="34" spans="1:4" ht="27.95" customHeight="1">
      <c r="A34" s="14" t="s">
        <v>192</v>
      </c>
      <c r="B34" s="15" t="s">
        <v>590</v>
      </c>
      <c r="C34" s="15" t="s">
        <v>91</v>
      </c>
      <c r="D34" s="16" t="s">
        <v>591</v>
      </c>
    </row>
    <row r="35" spans="1:4" ht="27.95" customHeight="1">
      <c r="A35" s="14" t="s">
        <v>192</v>
      </c>
      <c r="B35" s="15" t="s">
        <v>592</v>
      </c>
      <c r="C35" s="15" t="s">
        <v>91</v>
      </c>
      <c r="D35" s="16" t="s">
        <v>596</v>
      </c>
    </row>
    <row r="36" spans="1:4" ht="27.95" customHeight="1">
      <c r="A36" s="14" t="s">
        <v>192</v>
      </c>
      <c r="B36" s="15" t="s">
        <v>594</v>
      </c>
      <c r="C36" s="15" t="s">
        <v>197</v>
      </c>
      <c r="D36" s="16" t="s">
        <v>595</v>
      </c>
    </row>
    <row r="37" spans="1:4" ht="27.95" customHeight="1">
      <c r="A37" s="14" t="s">
        <v>205</v>
      </c>
      <c r="B37" s="15" t="s">
        <v>585</v>
      </c>
      <c r="C37" s="15" t="s">
        <v>210</v>
      </c>
      <c r="D37" s="16" t="s">
        <v>587</v>
      </c>
    </row>
    <row r="38" spans="1:4" ht="27.95" customHeight="1">
      <c r="A38" s="14" t="s">
        <v>205</v>
      </c>
      <c r="B38" s="15" t="s">
        <v>588</v>
      </c>
      <c r="C38" s="15" t="s">
        <v>210</v>
      </c>
      <c r="D38" s="16" t="s">
        <v>589</v>
      </c>
    </row>
    <row r="39" spans="1:4" ht="27.95" customHeight="1">
      <c r="A39" s="14" t="s">
        <v>205</v>
      </c>
      <c r="B39" s="15" t="s">
        <v>590</v>
      </c>
      <c r="C39" s="15" t="s">
        <v>91</v>
      </c>
      <c r="D39" s="16" t="s">
        <v>591</v>
      </c>
    </row>
    <row r="40" spans="1:4" ht="27.95" customHeight="1">
      <c r="A40" s="14" t="s">
        <v>205</v>
      </c>
      <c r="B40" s="15" t="s">
        <v>592</v>
      </c>
      <c r="C40" s="15" t="s">
        <v>211</v>
      </c>
      <c r="D40" s="16" t="s">
        <v>593</v>
      </c>
    </row>
    <row r="41" spans="1:4" ht="27.95" customHeight="1">
      <c r="A41" s="14" t="s">
        <v>205</v>
      </c>
      <c r="B41" s="15" t="s">
        <v>594</v>
      </c>
      <c r="C41" s="15" t="s">
        <v>212</v>
      </c>
      <c r="D41" s="16" t="s">
        <v>595</v>
      </c>
    </row>
    <row r="42" spans="1:4" ht="27.95" customHeight="1">
      <c r="A42" s="14" t="s">
        <v>12</v>
      </c>
      <c r="B42" s="15" t="s">
        <v>585</v>
      </c>
      <c r="C42" s="15" t="s">
        <v>222</v>
      </c>
      <c r="D42" s="16" t="s">
        <v>587</v>
      </c>
    </row>
    <row r="43" spans="1:4" ht="27.95" customHeight="1">
      <c r="A43" s="14" t="s">
        <v>12</v>
      </c>
      <c r="B43" s="15" t="s">
        <v>588</v>
      </c>
      <c r="C43" s="15" t="s">
        <v>210</v>
      </c>
      <c r="D43" s="16" t="s">
        <v>589</v>
      </c>
    </row>
    <row r="44" spans="1:4" ht="27.95" customHeight="1">
      <c r="A44" s="14" t="s">
        <v>12</v>
      </c>
      <c r="B44" s="15" t="s">
        <v>590</v>
      </c>
      <c r="C44" s="15" t="s">
        <v>91</v>
      </c>
      <c r="D44" s="16" t="s">
        <v>591</v>
      </c>
    </row>
    <row r="45" spans="1:4" ht="27.95" customHeight="1">
      <c r="A45" s="14" t="s">
        <v>12</v>
      </c>
      <c r="B45" s="15" t="s">
        <v>592</v>
      </c>
      <c r="C45" s="15" t="s">
        <v>223</v>
      </c>
      <c r="D45" s="16" t="s">
        <v>593</v>
      </c>
    </row>
    <row r="46" spans="1:4" ht="27.95" customHeight="1">
      <c r="A46" s="14" t="s">
        <v>12</v>
      </c>
      <c r="B46" s="15" t="s">
        <v>594</v>
      </c>
      <c r="C46" s="15" t="s">
        <v>91</v>
      </c>
      <c r="D46" s="16" t="s">
        <v>595</v>
      </c>
    </row>
    <row r="47" spans="1:4" ht="27.95" customHeight="1">
      <c r="A47" s="14" t="s">
        <v>230</v>
      </c>
      <c r="B47" s="15" t="s">
        <v>585</v>
      </c>
      <c r="C47" s="15" t="s">
        <v>234</v>
      </c>
      <c r="D47" s="16" t="s">
        <v>587</v>
      </c>
    </row>
    <row r="48" spans="1:4" ht="27.95" customHeight="1">
      <c r="A48" s="14" t="s">
        <v>230</v>
      </c>
      <c r="B48" s="15" t="s">
        <v>588</v>
      </c>
      <c r="C48" s="15" t="s">
        <v>235</v>
      </c>
      <c r="D48" s="16" t="s">
        <v>589</v>
      </c>
    </row>
    <row r="49" spans="1:4" ht="27.95" customHeight="1">
      <c r="A49" s="14" t="s">
        <v>230</v>
      </c>
      <c r="B49" s="15" t="s">
        <v>590</v>
      </c>
      <c r="C49" s="15" t="s">
        <v>91</v>
      </c>
      <c r="D49" s="16" t="s">
        <v>591</v>
      </c>
    </row>
    <row r="50" spans="1:4" ht="27.95" customHeight="1">
      <c r="A50" s="14" t="s">
        <v>230</v>
      </c>
      <c r="B50" s="15" t="s">
        <v>592</v>
      </c>
      <c r="C50" s="15" t="s">
        <v>118</v>
      </c>
      <c r="D50" s="16" t="s">
        <v>593</v>
      </c>
    </row>
    <row r="51" spans="1:4" ht="27.95" customHeight="1">
      <c r="A51" s="14" t="s">
        <v>230</v>
      </c>
      <c r="B51" s="15" t="s">
        <v>594</v>
      </c>
      <c r="C51" s="15" t="s">
        <v>236</v>
      </c>
      <c r="D51" s="16" t="s">
        <v>595</v>
      </c>
    </row>
    <row r="52" spans="1:4" ht="27.95" customHeight="1">
      <c r="A52" s="14" t="s">
        <v>243</v>
      </c>
      <c r="B52" s="15" t="s">
        <v>585</v>
      </c>
      <c r="C52" s="15" t="s">
        <v>586</v>
      </c>
      <c r="D52" s="16" t="s">
        <v>587</v>
      </c>
    </row>
    <row r="53" spans="1:4" ht="27.95" customHeight="1">
      <c r="A53" s="14" t="s">
        <v>243</v>
      </c>
      <c r="B53" s="15" t="s">
        <v>588</v>
      </c>
      <c r="C53" s="15" t="s">
        <v>246</v>
      </c>
      <c r="D53" s="16" t="s">
        <v>589</v>
      </c>
    </row>
    <row r="54" spans="1:4" ht="27.95" customHeight="1">
      <c r="A54" s="14" t="s">
        <v>243</v>
      </c>
      <c r="B54" s="15" t="s">
        <v>590</v>
      </c>
      <c r="C54" s="15" t="s">
        <v>247</v>
      </c>
      <c r="D54" s="16" t="s">
        <v>591</v>
      </c>
    </row>
    <row r="55" spans="1:4" ht="27.95" customHeight="1">
      <c r="A55" s="14" t="s">
        <v>243</v>
      </c>
      <c r="B55" s="15" t="s">
        <v>592</v>
      </c>
      <c r="C55" s="15" t="s">
        <v>248</v>
      </c>
      <c r="D55" s="16" t="s">
        <v>593</v>
      </c>
    </row>
    <row r="56" spans="1:4" ht="27.95" customHeight="1">
      <c r="A56" s="14" t="s">
        <v>243</v>
      </c>
      <c r="B56" s="15" t="s">
        <v>594</v>
      </c>
      <c r="C56" s="15" t="s">
        <v>249</v>
      </c>
      <c r="D56" s="16" t="s">
        <v>595</v>
      </c>
    </row>
    <row r="57" spans="1:4" ht="27.95" customHeight="1">
      <c r="A57" s="14" t="s">
        <v>257</v>
      </c>
      <c r="B57" s="15" t="s">
        <v>585</v>
      </c>
      <c r="C57" s="15" t="s">
        <v>260</v>
      </c>
      <c r="D57" s="16" t="s">
        <v>587</v>
      </c>
    </row>
    <row r="58" spans="1:4" ht="27.95" customHeight="1">
      <c r="A58" s="14" t="s">
        <v>257</v>
      </c>
      <c r="B58" s="15" t="s">
        <v>588</v>
      </c>
      <c r="C58" s="15" t="s">
        <v>261</v>
      </c>
      <c r="D58" s="16" t="s">
        <v>589</v>
      </c>
    </row>
    <row r="59" spans="1:4" ht="27.95" customHeight="1">
      <c r="A59" s="14" t="s">
        <v>257</v>
      </c>
      <c r="B59" s="15" t="s">
        <v>590</v>
      </c>
      <c r="C59" s="15" t="s">
        <v>262</v>
      </c>
      <c r="D59" s="16" t="s">
        <v>591</v>
      </c>
    </row>
    <row r="60" spans="1:4" ht="27.95" customHeight="1">
      <c r="A60" s="14" t="s">
        <v>257</v>
      </c>
      <c r="B60" s="15" t="s">
        <v>592</v>
      </c>
      <c r="C60" s="15" t="s">
        <v>118</v>
      </c>
      <c r="D60" s="16" t="s">
        <v>593</v>
      </c>
    </row>
    <row r="61" spans="1:4" ht="27.95" customHeight="1">
      <c r="A61" s="14" t="s">
        <v>257</v>
      </c>
      <c r="B61" s="15" t="s">
        <v>594</v>
      </c>
      <c r="C61" s="15" t="s">
        <v>264</v>
      </c>
      <c r="D61" s="16" t="s">
        <v>595</v>
      </c>
    </row>
    <row r="62" spans="1:4" ht="27.95" customHeight="1">
      <c r="A62" s="14" t="s">
        <v>270</v>
      </c>
      <c r="B62" s="15" t="s">
        <v>585</v>
      </c>
      <c r="C62" s="15" t="s">
        <v>273</v>
      </c>
      <c r="D62" s="16" t="s">
        <v>587</v>
      </c>
    </row>
    <row r="63" spans="1:4" ht="27.95" customHeight="1">
      <c r="A63" s="14" t="s">
        <v>270</v>
      </c>
      <c r="B63" s="15" t="s">
        <v>588</v>
      </c>
      <c r="C63" s="15" t="s">
        <v>274</v>
      </c>
      <c r="D63" s="16" t="s">
        <v>589</v>
      </c>
    </row>
    <row r="64" spans="1:4" ht="27.95" customHeight="1">
      <c r="A64" s="14" t="s">
        <v>270</v>
      </c>
      <c r="B64" s="15" t="s">
        <v>590</v>
      </c>
      <c r="C64" s="15" t="s">
        <v>275</v>
      </c>
      <c r="D64" s="16" t="s">
        <v>591</v>
      </c>
    </row>
    <row r="65" spans="1:4" ht="27.95" customHeight="1">
      <c r="A65" s="14" t="s">
        <v>270</v>
      </c>
      <c r="B65" s="15" t="s">
        <v>592</v>
      </c>
      <c r="C65" s="15" t="s">
        <v>118</v>
      </c>
      <c r="D65" s="16" t="s">
        <v>593</v>
      </c>
    </row>
    <row r="66" spans="1:4" ht="27.95" customHeight="1">
      <c r="A66" s="14" t="s">
        <v>270</v>
      </c>
      <c r="B66" s="15" t="s">
        <v>594</v>
      </c>
      <c r="C66" s="15" t="s">
        <v>151</v>
      </c>
      <c r="D66" s="16" t="s">
        <v>595</v>
      </c>
    </row>
    <row r="67" spans="1:4" ht="27.95" customHeight="1">
      <c r="A67" s="14" t="s">
        <v>282</v>
      </c>
      <c r="B67" s="15" t="s">
        <v>585</v>
      </c>
      <c r="C67" s="15" t="s">
        <v>222</v>
      </c>
      <c r="D67" s="16" t="s">
        <v>587</v>
      </c>
    </row>
    <row r="68" spans="1:4" ht="27.95" customHeight="1">
      <c r="A68" s="14" t="s">
        <v>282</v>
      </c>
      <c r="B68" s="15" t="s">
        <v>588</v>
      </c>
      <c r="C68" s="15" t="s">
        <v>285</v>
      </c>
      <c r="D68" s="16" t="s">
        <v>589</v>
      </c>
    </row>
    <row r="69" spans="1:4" ht="27.95" customHeight="1">
      <c r="A69" s="14" t="s">
        <v>282</v>
      </c>
      <c r="B69" s="15" t="s">
        <v>590</v>
      </c>
      <c r="C69" s="15" t="s">
        <v>286</v>
      </c>
      <c r="D69" s="16" t="s">
        <v>591</v>
      </c>
    </row>
    <row r="70" spans="1:4" ht="27.95" customHeight="1">
      <c r="A70" s="14" t="s">
        <v>282</v>
      </c>
      <c r="B70" s="15" t="s">
        <v>592</v>
      </c>
      <c r="C70" s="15" t="s">
        <v>211</v>
      </c>
      <c r="D70" s="16" t="s">
        <v>593</v>
      </c>
    </row>
    <row r="71" spans="1:4" ht="27.95" customHeight="1">
      <c r="A71" s="14" t="s">
        <v>282</v>
      </c>
      <c r="B71" s="15" t="s">
        <v>594</v>
      </c>
      <c r="C71" s="15" t="s">
        <v>288</v>
      </c>
      <c r="D71" s="16" t="s">
        <v>595</v>
      </c>
    </row>
    <row r="72" spans="1:4" ht="27.95" customHeight="1">
      <c r="A72" s="14" t="s">
        <v>294</v>
      </c>
      <c r="B72" s="15" t="s">
        <v>597</v>
      </c>
      <c r="C72" s="15" t="s">
        <v>297</v>
      </c>
      <c r="D72" s="16" t="s">
        <v>313</v>
      </c>
    </row>
    <row r="73" spans="1:4" ht="27.95" customHeight="1">
      <c r="A73" s="14" t="s">
        <v>294</v>
      </c>
      <c r="B73" s="15" t="s">
        <v>38</v>
      </c>
      <c r="C73" s="15" t="s">
        <v>298</v>
      </c>
      <c r="D73" s="16" t="s">
        <v>598</v>
      </c>
    </row>
    <row r="74" spans="1:4" ht="27.95" customHeight="1">
      <c r="A74" s="14" t="s">
        <v>316</v>
      </c>
      <c r="B74" s="15" t="s">
        <v>597</v>
      </c>
      <c r="C74" s="15" t="s">
        <v>319</v>
      </c>
      <c r="D74" s="16" t="s">
        <v>326</v>
      </c>
    </row>
    <row r="75" spans="1:4" ht="27.95" customHeight="1">
      <c r="A75" s="14" t="s">
        <v>316</v>
      </c>
      <c r="B75" s="15" t="s">
        <v>38</v>
      </c>
      <c r="C75" s="15" t="s">
        <v>320</v>
      </c>
      <c r="D75" s="16" t="s">
        <v>598</v>
      </c>
    </row>
    <row r="76" spans="1:4" ht="27.95" customHeight="1">
      <c r="A76" s="14" t="s">
        <v>328</v>
      </c>
      <c r="B76" s="15" t="s">
        <v>597</v>
      </c>
      <c r="C76" s="15" t="s">
        <v>332</v>
      </c>
      <c r="D76" s="16" t="s">
        <v>326</v>
      </c>
    </row>
    <row r="77" spans="1:4" ht="27.95" customHeight="1">
      <c r="A77" s="14" t="s">
        <v>328</v>
      </c>
      <c r="B77" s="15" t="s">
        <v>38</v>
      </c>
      <c r="C77" s="15" t="s">
        <v>333</v>
      </c>
      <c r="D77" s="16" t="s">
        <v>598</v>
      </c>
    </row>
    <row r="78" spans="1:4" ht="27.95" customHeight="1">
      <c r="A78" s="14" t="s">
        <v>340</v>
      </c>
      <c r="B78" s="15" t="s">
        <v>597</v>
      </c>
      <c r="C78" s="15" t="s">
        <v>344</v>
      </c>
      <c r="D78" s="16" t="s">
        <v>326</v>
      </c>
    </row>
    <row r="79" spans="1:4" ht="27.95" customHeight="1">
      <c r="A79" s="14" t="s">
        <v>340</v>
      </c>
      <c r="B79" s="15" t="s">
        <v>38</v>
      </c>
      <c r="C79" s="15" t="s">
        <v>345</v>
      </c>
      <c r="D79" s="16" t="s">
        <v>598</v>
      </c>
    </row>
    <row r="80" spans="1:4" ht="27.95" customHeight="1">
      <c r="A80" s="14" t="s">
        <v>355</v>
      </c>
      <c r="B80" s="15" t="s">
        <v>597</v>
      </c>
      <c r="C80" s="15" t="s">
        <v>361</v>
      </c>
      <c r="D80" s="16" t="s">
        <v>369</v>
      </c>
    </row>
    <row r="81" spans="1:4" ht="27.95" customHeight="1">
      <c r="A81" s="14" t="s">
        <v>355</v>
      </c>
      <c r="B81" s="15" t="s">
        <v>38</v>
      </c>
      <c r="C81" s="15" t="s">
        <v>362</v>
      </c>
      <c r="D81" s="16" t="s">
        <v>598</v>
      </c>
    </row>
    <row r="82" spans="1:4" ht="27.95" customHeight="1">
      <c r="A82" s="14" t="s">
        <v>372</v>
      </c>
      <c r="B82" s="15" t="s">
        <v>597</v>
      </c>
      <c r="C82" s="15" t="s">
        <v>375</v>
      </c>
      <c r="D82" s="16" t="s">
        <v>381</v>
      </c>
    </row>
    <row r="83" spans="1:4" ht="27.95" customHeight="1">
      <c r="A83" s="14" t="s">
        <v>372</v>
      </c>
      <c r="B83" s="15" t="s">
        <v>38</v>
      </c>
      <c r="C83" s="15" t="s">
        <v>376</v>
      </c>
      <c r="D83" s="16" t="s">
        <v>598</v>
      </c>
    </row>
    <row r="84" spans="1:4" ht="27.95" customHeight="1">
      <c r="A84" s="14" t="s">
        <v>383</v>
      </c>
      <c r="B84" s="15" t="s">
        <v>597</v>
      </c>
      <c r="C84" s="15" t="s">
        <v>319</v>
      </c>
      <c r="D84" s="16" t="s">
        <v>381</v>
      </c>
    </row>
    <row r="85" spans="1:4" ht="27.95" customHeight="1">
      <c r="A85" s="14" t="s">
        <v>383</v>
      </c>
      <c r="B85" s="15" t="s">
        <v>38</v>
      </c>
      <c r="C85" s="15" t="s">
        <v>386</v>
      </c>
      <c r="D85" s="16" t="s">
        <v>598</v>
      </c>
    </row>
    <row r="86" spans="1:4" ht="27.95" customHeight="1">
      <c r="A86" s="14" t="s">
        <v>394</v>
      </c>
      <c r="B86" s="15" t="s">
        <v>597</v>
      </c>
      <c r="C86" s="15" t="s">
        <v>273</v>
      </c>
      <c r="D86" s="16" t="s">
        <v>381</v>
      </c>
    </row>
    <row r="87" spans="1:4" ht="27.95" customHeight="1">
      <c r="A87" s="14" t="s">
        <v>394</v>
      </c>
      <c r="B87" s="15" t="s">
        <v>38</v>
      </c>
      <c r="C87" s="15" t="s">
        <v>398</v>
      </c>
      <c r="D87" s="16" t="s">
        <v>598</v>
      </c>
    </row>
    <row r="88" spans="1:4" ht="27.95" customHeight="1">
      <c r="A88" s="14" t="s">
        <v>406</v>
      </c>
      <c r="B88" s="15" t="s">
        <v>597</v>
      </c>
      <c r="C88" s="15" t="s">
        <v>411</v>
      </c>
      <c r="D88" s="16" t="s">
        <v>381</v>
      </c>
    </row>
    <row r="89" spans="1:4" ht="27.95" customHeight="1">
      <c r="A89" s="14" t="s">
        <v>406</v>
      </c>
      <c r="B89" s="15" t="s">
        <v>38</v>
      </c>
      <c r="C89" s="15" t="s">
        <v>412</v>
      </c>
      <c r="D89" s="16" t="s">
        <v>598</v>
      </c>
    </row>
    <row r="90" spans="1:4" ht="27.95" customHeight="1">
      <c r="A90" s="14" t="s">
        <v>421</v>
      </c>
      <c r="B90" s="15" t="s">
        <v>597</v>
      </c>
      <c r="C90" s="15" t="s">
        <v>273</v>
      </c>
      <c r="D90" s="16" t="s">
        <v>381</v>
      </c>
    </row>
    <row r="91" spans="1:4" ht="27.95" customHeight="1">
      <c r="A91" s="14" t="s">
        <v>421</v>
      </c>
      <c r="B91" s="15" t="s">
        <v>38</v>
      </c>
      <c r="C91" s="15" t="s">
        <v>425</v>
      </c>
      <c r="D91" s="16" t="s">
        <v>598</v>
      </c>
    </row>
    <row r="92" spans="1:4" ht="27.95" customHeight="1">
      <c r="A92" s="14" t="s">
        <v>434</v>
      </c>
      <c r="B92" s="15" t="s">
        <v>597</v>
      </c>
      <c r="C92" s="15" t="s">
        <v>437</v>
      </c>
      <c r="D92" s="16" t="s">
        <v>381</v>
      </c>
    </row>
    <row r="93" spans="1:4" ht="27.95" customHeight="1">
      <c r="A93" s="14" t="s">
        <v>434</v>
      </c>
      <c r="B93" s="15" t="s">
        <v>38</v>
      </c>
      <c r="C93" s="15" t="s">
        <v>438</v>
      </c>
      <c r="D93" s="16" t="s">
        <v>598</v>
      </c>
    </row>
    <row r="94" spans="1:4" ht="27.95" customHeight="1">
      <c r="A94" s="14" t="s">
        <v>445</v>
      </c>
      <c r="B94" s="15" t="s">
        <v>597</v>
      </c>
      <c r="C94" s="15" t="s">
        <v>449</v>
      </c>
      <c r="D94" s="16" t="s">
        <v>456</v>
      </c>
    </row>
    <row r="95" spans="1:4" ht="27.95" customHeight="1">
      <c r="A95" s="14" t="s">
        <v>445</v>
      </c>
      <c r="B95" s="15" t="s">
        <v>38</v>
      </c>
      <c r="C95" s="15" t="s">
        <v>450</v>
      </c>
      <c r="D95" s="16" t="s">
        <v>598</v>
      </c>
    </row>
    <row r="96" spans="1:4" ht="27.95" customHeight="1">
      <c r="A96" s="14" t="s">
        <v>459</v>
      </c>
      <c r="B96" s="15" t="s">
        <v>597</v>
      </c>
      <c r="C96" s="15" t="s">
        <v>463</v>
      </c>
      <c r="D96" s="16" t="s">
        <v>456</v>
      </c>
    </row>
    <row r="97" spans="1:4" ht="27.95" customHeight="1">
      <c r="A97" s="14" t="s">
        <v>459</v>
      </c>
      <c r="B97" s="15" t="s">
        <v>38</v>
      </c>
      <c r="C97" s="15" t="s">
        <v>464</v>
      </c>
      <c r="D97" s="16" t="s">
        <v>598</v>
      </c>
    </row>
    <row r="98" spans="1:4" ht="27.95" customHeight="1">
      <c r="A98" s="14" t="s">
        <v>473</v>
      </c>
      <c r="B98" s="15" t="s">
        <v>597</v>
      </c>
      <c r="C98" s="15" t="s">
        <v>475</v>
      </c>
      <c r="D98" s="16" t="s">
        <v>456</v>
      </c>
    </row>
    <row r="99" spans="1:4" ht="27.95" customHeight="1">
      <c r="A99" s="14" t="s">
        <v>473</v>
      </c>
      <c r="B99" s="15" t="s">
        <v>38</v>
      </c>
      <c r="C99" s="15" t="s">
        <v>476</v>
      </c>
      <c r="D99" s="16" t="s">
        <v>598</v>
      </c>
    </row>
    <row r="100" spans="1:4" ht="27.95" customHeight="1">
      <c r="A100" s="14" t="s">
        <v>484</v>
      </c>
      <c r="B100" s="15" t="s">
        <v>597</v>
      </c>
      <c r="C100" s="15" t="s">
        <v>487</v>
      </c>
      <c r="D100" s="16" t="s">
        <v>456</v>
      </c>
    </row>
    <row r="101" spans="1:4" ht="27.95" customHeight="1">
      <c r="A101" s="14" t="s">
        <v>484</v>
      </c>
      <c r="B101" s="15" t="s">
        <v>38</v>
      </c>
      <c r="C101" s="15" t="s">
        <v>488</v>
      </c>
      <c r="D101" s="16" t="s">
        <v>598</v>
      </c>
    </row>
    <row r="102" spans="1:4" ht="27.95" customHeight="1">
      <c r="A102" s="14" t="s">
        <v>495</v>
      </c>
      <c r="B102" s="15" t="s">
        <v>597</v>
      </c>
      <c r="C102" s="15" t="s">
        <v>498</v>
      </c>
      <c r="D102" s="16" t="s">
        <v>505</v>
      </c>
    </row>
    <row r="103" spans="1:4" ht="27.95" customHeight="1">
      <c r="A103" s="14" t="s">
        <v>495</v>
      </c>
      <c r="B103" s="15" t="s">
        <v>38</v>
      </c>
      <c r="C103" s="15" t="s">
        <v>499</v>
      </c>
      <c r="D103" s="16" t="s">
        <v>598</v>
      </c>
    </row>
    <row r="104" spans="1:4" ht="27.95" customHeight="1">
      <c r="A104" s="14" t="s">
        <v>508</v>
      </c>
      <c r="B104" s="15" t="s">
        <v>597</v>
      </c>
      <c r="C104" s="15" t="s">
        <v>511</v>
      </c>
      <c r="D104" s="16" t="s">
        <v>505</v>
      </c>
    </row>
    <row r="105" spans="1:4" ht="27.95" customHeight="1">
      <c r="A105" s="14" t="s">
        <v>508</v>
      </c>
      <c r="B105" s="15" t="s">
        <v>38</v>
      </c>
      <c r="C105" s="15" t="s">
        <v>512</v>
      </c>
      <c r="D105" s="16" t="s">
        <v>598</v>
      </c>
    </row>
    <row r="106" spans="1:4" ht="27.95" customHeight="1">
      <c r="A106" s="14" t="s">
        <v>522</v>
      </c>
      <c r="B106" s="15" t="s">
        <v>597</v>
      </c>
      <c r="C106" s="15" t="s">
        <v>525</v>
      </c>
      <c r="D106" s="16" t="s">
        <v>505</v>
      </c>
    </row>
    <row r="107" spans="1:4" ht="27.95" customHeight="1">
      <c r="A107" s="14" t="s">
        <v>522</v>
      </c>
      <c r="B107" s="15" t="s">
        <v>38</v>
      </c>
      <c r="C107" s="15" t="s">
        <v>526</v>
      </c>
      <c r="D107" s="16" t="s">
        <v>598</v>
      </c>
    </row>
    <row r="108" spans="1:4" ht="27.95" customHeight="1">
      <c r="A108" s="14" t="s">
        <v>533</v>
      </c>
      <c r="B108" s="15" t="s">
        <v>597</v>
      </c>
      <c r="C108" s="15" t="s">
        <v>536</v>
      </c>
      <c r="D108" s="16" t="s">
        <v>505</v>
      </c>
    </row>
    <row r="109" spans="1:4" ht="27.95" customHeight="1">
      <c r="A109" s="14" t="s">
        <v>533</v>
      </c>
      <c r="B109" s="15" t="s">
        <v>38</v>
      </c>
      <c r="C109" s="15" t="s">
        <v>537</v>
      </c>
      <c r="D109" s="16" t="s">
        <v>598</v>
      </c>
    </row>
    <row r="110" spans="1:4" ht="27.95" customHeight="1">
      <c r="A110" s="14" t="s">
        <v>546</v>
      </c>
      <c r="B110" s="15" t="s">
        <v>597</v>
      </c>
      <c r="C110" s="15" t="s">
        <v>536</v>
      </c>
      <c r="D110" s="16" t="s">
        <v>505</v>
      </c>
    </row>
    <row r="111" spans="1:4" ht="27.95" customHeight="1">
      <c r="A111" s="14" t="s">
        <v>546</v>
      </c>
      <c r="B111" s="15" t="s">
        <v>38</v>
      </c>
      <c r="C111" s="15" t="s">
        <v>549</v>
      </c>
      <c r="D111" s="16" t="s">
        <v>598</v>
      </c>
    </row>
    <row r="112" spans="1:4" ht="27.95" customHeight="1">
      <c r="A112" s="14" t="s">
        <v>555</v>
      </c>
      <c r="B112" s="15" t="s">
        <v>597</v>
      </c>
      <c r="C112" s="15" t="s">
        <v>559</v>
      </c>
      <c r="D112" s="16" t="s">
        <v>568</v>
      </c>
    </row>
    <row r="113" spans="1:4" ht="27.95" customHeight="1">
      <c r="A113" s="14" t="s">
        <v>555</v>
      </c>
      <c r="B113" s="15" t="s">
        <v>38</v>
      </c>
      <c r="C113" s="15" t="s">
        <v>560</v>
      </c>
      <c r="D113" s="16" t="s">
        <v>598</v>
      </c>
    </row>
    <row r="114" spans="1:4" ht="27.95" customHeight="1">
      <c r="A114" s="14" t="s">
        <v>570</v>
      </c>
      <c r="B114" s="15" t="s">
        <v>597</v>
      </c>
      <c r="C114" s="15" t="s">
        <v>573</v>
      </c>
      <c r="D114" s="16" t="s">
        <v>580</v>
      </c>
    </row>
    <row r="115" spans="1:4" ht="27.95" customHeight="1">
      <c r="A115" s="17" t="s">
        <v>570</v>
      </c>
      <c r="B115" s="18" t="s">
        <v>38</v>
      </c>
      <c r="C115" s="18" t="s">
        <v>574</v>
      </c>
      <c r="D115" s="19" t="s">
        <v>598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>
      <selection sqref="A1:D2"/>
    </sheetView>
  </sheetViews>
  <sheetFormatPr baseColWidth="10" defaultColWidth="9" defaultRowHeight="14.25"/>
  <cols>
    <col min="1" max="1" width="24" customWidth="1"/>
    <col min="2" max="2" width="58" customWidth="1"/>
    <col min="3" max="3" width="42" customWidth="1"/>
    <col min="4" max="4" width="38" customWidth="1"/>
  </cols>
  <sheetData>
    <row r="1" spans="1:4">
      <c r="A1" s="32" t="s">
        <v>599</v>
      </c>
      <c r="B1" s="32"/>
      <c r="C1" s="32"/>
      <c r="D1" s="32"/>
    </row>
    <row r="2" spans="1:4">
      <c r="A2" s="32"/>
      <c r="B2" s="32"/>
      <c r="C2" s="32"/>
      <c r="D2" s="32"/>
    </row>
    <row r="4" spans="1:4" ht="15">
      <c r="A4" s="20" t="s">
        <v>600</v>
      </c>
      <c r="B4" s="21" t="s">
        <v>601</v>
      </c>
      <c r="C4" s="21" t="s">
        <v>602</v>
      </c>
      <c r="D4" s="22" t="s">
        <v>603</v>
      </c>
    </row>
    <row r="5" spans="1:4" ht="44.1" customHeight="1">
      <c r="A5" s="23" t="s">
        <v>604</v>
      </c>
      <c r="B5" s="24" t="s">
        <v>605</v>
      </c>
      <c r="C5" s="24" t="s">
        <v>606</v>
      </c>
      <c r="D5" s="25" t="s">
        <v>607</v>
      </c>
    </row>
    <row r="6" spans="1:4" ht="44.1" customHeight="1">
      <c r="A6" s="23" t="s">
        <v>608</v>
      </c>
      <c r="B6" s="24" t="s">
        <v>609</v>
      </c>
      <c r="C6" s="24" t="s">
        <v>610</v>
      </c>
      <c r="D6" s="25" t="s">
        <v>611</v>
      </c>
    </row>
    <row r="7" spans="1:4" ht="44.1" customHeight="1">
      <c r="A7" s="23" t="s">
        <v>612</v>
      </c>
      <c r="B7" s="24" t="s">
        <v>613</v>
      </c>
      <c r="C7" s="24" t="s">
        <v>614</v>
      </c>
      <c r="D7" s="25" t="s">
        <v>615</v>
      </c>
    </row>
    <row r="8" spans="1:4" ht="44.1" customHeight="1">
      <c r="A8" s="23" t="s">
        <v>616</v>
      </c>
      <c r="B8" s="24" t="s">
        <v>617</v>
      </c>
      <c r="C8" s="24" t="s">
        <v>618</v>
      </c>
      <c r="D8" s="25" t="s">
        <v>619</v>
      </c>
    </row>
    <row r="9" spans="1:4" ht="44.1" customHeight="1">
      <c r="A9" s="23" t="s">
        <v>620</v>
      </c>
      <c r="B9" s="24" t="s">
        <v>621</v>
      </c>
      <c r="C9" s="24" t="s">
        <v>622</v>
      </c>
      <c r="D9" s="25" t="s">
        <v>623</v>
      </c>
    </row>
    <row r="10" spans="1:4" ht="44.1" customHeight="1">
      <c r="A10" s="23" t="s">
        <v>75</v>
      </c>
      <c r="B10" s="24" t="s">
        <v>624</v>
      </c>
      <c r="C10" s="24" t="s">
        <v>625</v>
      </c>
      <c r="D10" s="25" t="s">
        <v>626</v>
      </c>
    </row>
    <row r="11" spans="1:4" ht="44.1" customHeight="1">
      <c r="A11" s="23" t="s">
        <v>627</v>
      </c>
      <c r="B11" s="24" t="s">
        <v>628</v>
      </c>
      <c r="C11" s="24" t="s">
        <v>629</v>
      </c>
      <c r="D11" s="25" t="s">
        <v>630</v>
      </c>
    </row>
    <row r="12" spans="1:4" ht="44.1" customHeight="1">
      <c r="A12" s="23" t="s">
        <v>8</v>
      </c>
      <c r="B12" s="24" t="s">
        <v>631</v>
      </c>
      <c r="C12" s="24" t="s">
        <v>632</v>
      </c>
      <c r="D12" s="25" t="s">
        <v>633</v>
      </c>
    </row>
    <row r="13" spans="1:4" ht="44.1" customHeight="1">
      <c r="A13" s="23" t="s">
        <v>203</v>
      </c>
      <c r="B13" s="24" t="s">
        <v>634</v>
      </c>
      <c r="C13" s="24" t="s">
        <v>635</v>
      </c>
      <c r="D13" s="25" t="s">
        <v>636</v>
      </c>
    </row>
    <row r="14" spans="1:4" ht="44.1" customHeight="1">
      <c r="A14" s="23" t="s">
        <v>190</v>
      </c>
      <c r="B14" s="24" t="s">
        <v>637</v>
      </c>
      <c r="C14" s="24" t="s">
        <v>638</v>
      </c>
      <c r="D14" s="25" t="s">
        <v>639</v>
      </c>
    </row>
    <row r="15" spans="1:4" ht="44.1" customHeight="1">
      <c r="A15" s="26" t="s">
        <v>640</v>
      </c>
      <c r="B15" s="27" t="s">
        <v>641</v>
      </c>
      <c r="C15" s="27" t="s">
        <v>642</v>
      </c>
      <c r="D15" s="28" t="s">
        <v>643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Synthèse</vt:lpstr>
      <vt:lpstr>CUO_Master</vt:lpstr>
      <vt:lpstr>Biomes_MicroScenes</vt:lpstr>
      <vt:lpstr>Guide_Validation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LE MASSON</cp:lastModifiedBy>
  <dcterms:modified xsi:type="dcterms:W3CDTF">2026-08-01T02:09:11Z</dcterms:modified>
</cp:coreProperties>
</file>